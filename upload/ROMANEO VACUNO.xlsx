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160" tabRatio="940" firstSheet="5" activeTab="15"/>
  </bookViews>
  <sheets>
    <sheet name="TROPA 193" sheetId="27" r:id="rId1"/>
    <sheet name="TROPA 194" sheetId="28" r:id="rId2"/>
    <sheet name="TROPA 195" sheetId="29" r:id="rId3"/>
    <sheet name="TROPA 196" sheetId="30" r:id="rId4"/>
    <sheet name="TROPA 197" sheetId="25" r:id="rId5"/>
    <sheet name="TROPA 198" sheetId="26" r:id="rId6"/>
    <sheet name="TROPA 199" sheetId="24" r:id="rId7"/>
    <sheet name="ROMANEO 1" sheetId="1" r:id="rId8"/>
    <sheet name="ROMANEO (2)" sheetId="17" r:id="rId9"/>
    <sheet name="denticion 1" sheetId="16" r:id="rId10"/>
    <sheet name="denticion(2)" sheetId="19" r:id="rId11"/>
    <sheet name="menudencias (1)" sheetId="10" r:id="rId12"/>
    <sheet name="menudencias (2)" sheetId="31" r:id="rId13"/>
    <sheet name="menudencias (3)" sheetId="32" r:id="rId14"/>
    <sheet name="menudencias (4)" sheetId="33" r:id="rId15"/>
    <sheet name="menudencias (5)" sheetId="34" r:id="rId16"/>
  </sheets>
  <definedNames>
    <definedName name="_xlnm.Print_Area" localSheetId="11">'menudencias (1)'!$B$1:$I$30</definedName>
    <definedName name="_xlnm.Print_Area" localSheetId="12">'menudencias (2)'!$B$1:$I$30</definedName>
    <definedName name="_xlnm.Print_Area" localSheetId="13">'menudencias (3)'!$B$1:$I$30</definedName>
    <definedName name="_xlnm.Print_Area" localSheetId="14">'menudencias (4)'!$B$1:$I$30</definedName>
    <definedName name="_xlnm.Print_Area" localSheetId="15">'menudencias (5)'!$B$1:$I$30</definedName>
    <definedName name="_xlnm.Print_Area" localSheetId="7">'ROMANEO 1'!$A$1:$F$44</definedName>
    <definedName name="_xlnm.Print_Area" localSheetId="0">'TROPA 193'!$B$2:$N$28</definedName>
    <definedName name="_xlnm.Print_Area" localSheetId="1">'TROPA 194'!$B$2:$N$36</definedName>
    <definedName name="_xlnm.Print_Area" localSheetId="2">'TROPA 195'!$B$2:$N$42</definedName>
    <definedName name="_xlnm.Print_Area" localSheetId="3">'TROPA 196'!$B$2:$N$30</definedName>
    <definedName name="_xlnm.Print_Area" localSheetId="4">'TROPA 197'!$B$2:$N$28</definedName>
    <definedName name="_xlnm.Print_Area" localSheetId="5">'TROPA 198'!$B$2:$N$41</definedName>
    <definedName name="_xlnm.Print_Area" localSheetId="6">'TROPA 199'!$B$2:$N$36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31" l="1"/>
  <c r="E7" i="32"/>
  <c r="E7" i="10"/>
  <c r="D6" i="10"/>
  <c r="D5" i="10"/>
  <c r="H30" i="34" l="1"/>
  <c r="G30" i="34"/>
  <c r="H29" i="34"/>
  <c r="G29" i="34"/>
  <c r="H28" i="34"/>
  <c r="G28" i="34"/>
  <c r="H27" i="34"/>
  <c r="G27" i="34"/>
  <c r="H26" i="34"/>
  <c r="G26" i="34"/>
  <c r="F18" i="34"/>
  <c r="E18" i="34"/>
  <c r="H30" i="33"/>
  <c r="G30" i="33"/>
  <c r="H29" i="33"/>
  <c r="G29" i="33"/>
  <c r="H28" i="33"/>
  <c r="G28" i="33"/>
  <c r="H27" i="33"/>
  <c r="G27" i="33"/>
  <c r="H26" i="33"/>
  <c r="G26" i="33"/>
  <c r="F18" i="33"/>
  <c r="E18" i="33"/>
  <c r="H30" i="32"/>
  <c r="G30" i="32"/>
  <c r="H29" i="32"/>
  <c r="G29" i="32"/>
  <c r="H28" i="32"/>
  <c r="G28" i="32"/>
  <c r="H27" i="32"/>
  <c r="G27" i="32"/>
  <c r="H26" i="32"/>
  <c r="G26" i="32"/>
  <c r="F18" i="32"/>
  <c r="E18" i="32"/>
  <c r="H30" i="31"/>
  <c r="G30" i="31"/>
  <c r="H29" i="31"/>
  <c r="G29" i="31"/>
  <c r="H28" i="31"/>
  <c r="G28" i="31"/>
  <c r="H27" i="31"/>
  <c r="G27" i="31"/>
  <c r="H26" i="31"/>
  <c r="G26" i="31"/>
  <c r="F18" i="31"/>
  <c r="E18" i="31"/>
  <c r="I56" i="30"/>
  <c r="K47" i="30"/>
  <c r="J47" i="30"/>
  <c r="I47" i="30"/>
  <c r="K29" i="30"/>
  <c r="J29" i="30"/>
  <c r="I29" i="30"/>
  <c r="E17" i="30" s="1"/>
  <c r="D29" i="30"/>
  <c r="H52" i="30" s="1"/>
  <c r="L28" i="30"/>
  <c r="M28" i="30" s="1"/>
  <c r="L27" i="30"/>
  <c r="M27" i="30" s="1"/>
  <c r="L26" i="30"/>
  <c r="M26" i="30" s="1"/>
  <c r="L25" i="30"/>
  <c r="M25" i="30" s="1"/>
  <c r="L20" i="30"/>
  <c r="K20" i="30"/>
  <c r="L19" i="30"/>
  <c r="K19" i="30"/>
  <c r="L18" i="30"/>
  <c r="K18" i="30"/>
  <c r="L17" i="30"/>
  <c r="K17" i="30"/>
  <c r="L16" i="30"/>
  <c r="K16" i="30"/>
  <c r="L15" i="30"/>
  <c r="K15" i="30"/>
  <c r="I68" i="29"/>
  <c r="K59" i="29"/>
  <c r="J59" i="29"/>
  <c r="I59" i="29"/>
  <c r="K41" i="29"/>
  <c r="J41" i="29"/>
  <c r="I41" i="29"/>
  <c r="E17" i="29" s="1"/>
  <c r="D41" i="29"/>
  <c r="H64" i="29" s="1"/>
  <c r="L40" i="29"/>
  <c r="M40" i="29" s="1"/>
  <c r="L39" i="29"/>
  <c r="M39" i="29" s="1"/>
  <c r="L38" i="29"/>
  <c r="M38" i="29" s="1"/>
  <c r="L37" i="29"/>
  <c r="M37" i="29" s="1"/>
  <c r="L36" i="29"/>
  <c r="M36" i="29" s="1"/>
  <c r="L35" i="29"/>
  <c r="M35" i="29" s="1"/>
  <c r="L34" i="29"/>
  <c r="M34" i="29" s="1"/>
  <c r="L33" i="29"/>
  <c r="M33" i="29" s="1"/>
  <c r="L32" i="29"/>
  <c r="M32" i="29" s="1"/>
  <c r="M31" i="29"/>
  <c r="L31" i="29"/>
  <c r="L30" i="29"/>
  <c r="M30" i="29" s="1"/>
  <c r="L29" i="29"/>
  <c r="M29" i="29" s="1"/>
  <c r="L28" i="29"/>
  <c r="M28" i="29" s="1"/>
  <c r="L27" i="29"/>
  <c r="M27" i="29" s="1"/>
  <c r="L26" i="29"/>
  <c r="M26" i="29" s="1"/>
  <c r="L25" i="29"/>
  <c r="L20" i="29"/>
  <c r="K20" i="29"/>
  <c r="L19" i="29"/>
  <c r="K19" i="29"/>
  <c r="L18" i="29"/>
  <c r="K18" i="29"/>
  <c r="L17" i="29"/>
  <c r="K17" i="29"/>
  <c r="L16" i="29"/>
  <c r="K16" i="29"/>
  <c r="L15" i="29"/>
  <c r="K15" i="29"/>
  <c r="I62" i="28"/>
  <c r="K53" i="28"/>
  <c r="J53" i="28"/>
  <c r="I53" i="28"/>
  <c r="K35" i="28"/>
  <c r="J35" i="28"/>
  <c r="I35" i="28"/>
  <c r="D35" i="28"/>
  <c r="H58" i="28" s="1"/>
  <c r="L34" i="28"/>
  <c r="M34" i="28" s="1"/>
  <c r="L33" i="28"/>
  <c r="M33" i="28" s="1"/>
  <c r="L32" i="28"/>
  <c r="M32" i="28" s="1"/>
  <c r="L31" i="28"/>
  <c r="M31" i="28" s="1"/>
  <c r="L30" i="28"/>
  <c r="M30" i="28" s="1"/>
  <c r="L29" i="28"/>
  <c r="M29" i="28" s="1"/>
  <c r="L28" i="28"/>
  <c r="M28" i="28" s="1"/>
  <c r="L27" i="28"/>
  <c r="M27" i="28" s="1"/>
  <c r="L26" i="28"/>
  <c r="M26" i="28" s="1"/>
  <c r="L25" i="28"/>
  <c r="L35" i="28" s="1"/>
  <c r="L20" i="28"/>
  <c r="K20" i="28"/>
  <c r="L19" i="28"/>
  <c r="K19" i="28"/>
  <c r="L18" i="28"/>
  <c r="K18" i="28"/>
  <c r="L17" i="28"/>
  <c r="K17" i="28"/>
  <c r="E17" i="28"/>
  <c r="L16" i="28"/>
  <c r="K16" i="28"/>
  <c r="L15" i="28"/>
  <c r="K15" i="28"/>
  <c r="I54" i="27"/>
  <c r="K45" i="27"/>
  <c r="J45" i="27"/>
  <c r="I45" i="27"/>
  <c r="K27" i="27"/>
  <c r="J27" i="27"/>
  <c r="I27" i="27"/>
  <c r="D27" i="27"/>
  <c r="H50" i="27" s="1"/>
  <c r="L26" i="27"/>
  <c r="M26" i="27" s="1"/>
  <c r="L25" i="27"/>
  <c r="L27" i="27" s="1"/>
  <c r="L20" i="27"/>
  <c r="K20" i="27"/>
  <c r="L19" i="27"/>
  <c r="K19" i="27"/>
  <c r="L18" i="27"/>
  <c r="K18" i="27"/>
  <c r="L17" i="27"/>
  <c r="K17" i="27"/>
  <c r="E17" i="27"/>
  <c r="L16" i="27"/>
  <c r="K16" i="27"/>
  <c r="L15" i="27"/>
  <c r="K15" i="27"/>
  <c r="I67" i="26"/>
  <c r="K58" i="26"/>
  <c r="J58" i="26"/>
  <c r="I58" i="26"/>
  <c r="K40" i="26"/>
  <c r="J40" i="26"/>
  <c r="I40" i="26"/>
  <c r="E17" i="26" s="1"/>
  <c r="D40" i="26"/>
  <c r="H63" i="26" s="1"/>
  <c r="L39" i="26"/>
  <c r="M39" i="26" s="1"/>
  <c r="L38" i="26"/>
  <c r="M38" i="26" s="1"/>
  <c r="L37" i="26"/>
  <c r="M37" i="26" s="1"/>
  <c r="L36" i="26"/>
  <c r="M36" i="26" s="1"/>
  <c r="L35" i="26"/>
  <c r="M35" i="26" s="1"/>
  <c r="L34" i="26"/>
  <c r="M34" i="26" s="1"/>
  <c r="L33" i="26"/>
  <c r="M33" i="26" s="1"/>
  <c r="L32" i="26"/>
  <c r="M32" i="26" s="1"/>
  <c r="L31" i="26"/>
  <c r="M31" i="26" s="1"/>
  <c r="L30" i="26"/>
  <c r="M30" i="26" s="1"/>
  <c r="L29" i="26"/>
  <c r="M29" i="26" s="1"/>
  <c r="L28" i="26"/>
  <c r="M28" i="26" s="1"/>
  <c r="L27" i="26"/>
  <c r="M27" i="26" s="1"/>
  <c r="L26" i="26"/>
  <c r="M26" i="26" s="1"/>
  <c r="L25" i="26"/>
  <c r="M25" i="26" s="1"/>
  <c r="L20" i="26"/>
  <c r="K20" i="26"/>
  <c r="L19" i="26"/>
  <c r="K19" i="26"/>
  <c r="L18" i="26"/>
  <c r="K18" i="26"/>
  <c r="L17" i="26"/>
  <c r="K17" i="26"/>
  <c r="L16" i="26"/>
  <c r="K16" i="26"/>
  <c r="L15" i="26"/>
  <c r="K15" i="26"/>
  <c r="I54" i="25"/>
  <c r="K45" i="25"/>
  <c r="J45" i="25"/>
  <c r="I45" i="25"/>
  <c r="K27" i="25"/>
  <c r="J27" i="25"/>
  <c r="I27" i="25"/>
  <c r="E17" i="25" s="1"/>
  <c r="D27" i="25"/>
  <c r="H50" i="25" s="1"/>
  <c r="L26" i="25"/>
  <c r="M26" i="25" s="1"/>
  <c r="L25" i="25"/>
  <c r="L27" i="25" s="1"/>
  <c r="L20" i="25"/>
  <c r="K20" i="25"/>
  <c r="L19" i="25"/>
  <c r="K19" i="25"/>
  <c r="L18" i="25"/>
  <c r="K18" i="25"/>
  <c r="L17" i="25"/>
  <c r="K17" i="25"/>
  <c r="K16" i="25"/>
  <c r="L15" i="25"/>
  <c r="K15" i="25"/>
  <c r="I62" i="24"/>
  <c r="K53" i="24"/>
  <c r="J53" i="24"/>
  <c r="I53" i="24"/>
  <c r="K35" i="24"/>
  <c r="J35" i="24"/>
  <c r="I35" i="24"/>
  <c r="E17" i="24" s="1"/>
  <c r="D35" i="24"/>
  <c r="H58" i="24" s="1"/>
  <c r="L34" i="24"/>
  <c r="M34" i="24" s="1"/>
  <c r="L33" i="24"/>
  <c r="M33" i="24" s="1"/>
  <c r="L32" i="24"/>
  <c r="M32" i="24" s="1"/>
  <c r="L31" i="24"/>
  <c r="M31" i="24" s="1"/>
  <c r="L30" i="24"/>
  <c r="M30" i="24" s="1"/>
  <c r="L29" i="24"/>
  <c r="M29" i="24" s="1"/>
  <c r="L28" i="24"/>
  <c r="M28" i="24" s="1"/>
  <c r="L27" i="24"/>
  <c r="M27" i="24" s="1"/>
  <c r="L26" i="24"/>
  <c r="M26" i="24" s="1"/>
  <c r="L25" i="24"/>
  <c r="L20" i="24"/>
  <c r="K20" i="24"/>
  <c r="L19" i="24"/>
  <c r="K19" i="24"/>
  <c r="L18" i="24"/>
  <c r="K18" i="24"/>
  <c r="L17" i="24"/>
  <c r="K17" i="24"/>
  <c r="L16" i="24"/>
  <c r="K16" i="24"/>
  <c r="L15" i="24"/>
  <c r="K15" i="24"/>
  <c r="L16" i="25" l="1"/>
  <c r="M25" i="27"/>
  <c r="L35" i="24"/>
  <c r="E20" i="24" s="1"/>
  <c r="L41" i="29"/>
  <c r="L4" i="29" s="1"/>
  <c r="M25" i="24"/>
  <c r="E16" i="25"/>
  <c r="E16" i="24"/>
  <c r="E16" i="29"/>
  <c r="E16" i="28"/>
  <c r="E16" i="27"/>
  <c r="M27" i="27"/>
  <c r="E18" i="27"/>
  <c r="L4" i="27"/>
  <c r="E20" i="27"/>
  <c r="E20" i="29"/>
  <c r="E18" i="29"/>
  <c r="M35" i="28"/>
  <c r="E18" i="28"/>
  <c r="L4" i="28"/>
  <c r="E20" i="28"/>
  <c r="M25" i="28"/>
  <c r="M25" i="29"/>
  <c r="L29" i="30"/>
  <c r="E16" i="30"/>
  <c r="E18" i="25"/>
  <c r="E20" i="25"/>
  <c r="M27" i="25"/>
  <c r="L4" i="25"/>
  <c r="M25" i="25"/>
  <c r="L40" i="26"/>
  <c r="E16" i="26"/>
  <c r="L4" i="24"/>
  <c r="E18" i="24"/>
  <c r="M35" i="24"/>
  <c r="M41" i="29" l="1"/>
  <c r="E19" i="28"/>
  <c r="L3" i="28"/>
  <c r="E19" i="27"/>
  <c r="L3" i="27"/>
  <c r="L4" i="30"/>
  <c r="E20" i="30"/>
  <c r="M29" i="30"/>
  <c r="E18" i="30"/>
  <c r="L3" i="29"/>
  <c r="E19" i="29"/>
  <c r="L3" i="25"/>
  <c r="E19" i="25"/>
  <c r="L4" i="26"/>
  <c r="E20" i="26"/>
  <c r="M40" i="26"/>
  <c r="E18" i="26"/>
  <c r="L3" i="24"/>
  <c r="E19" i="24"/>
  <c r="H27" i="10"/>
  <c r="H28" i="10"/>
  <c r="H29" i="10"/>
  <c r="H30" i="10"/>
  <c r="G27" i="10"/>
  <c r="G28" i="10"/>
  <c r="G29" i="10"/>
  <c r="G30" i="10"/>
  <c r="H26" i="10"/>
  <c r="G26" i="10"/>
  <c r="L3" i="30" l="1"/>
  <c r="E19" i="30"/>
  <c r="L3" i="26"/>
  <c r="E19" i="26"/>
  <c r="F3" i="17" l="1"/>
  <c r="F18" i="10"/>
  <c r="E18" i="10"/>
  <c r="B6" i="17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6" i="19" l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</calcChain>
</file>

<file path=xl/comments1.xml><?xml version="1.0" encoding="utf-8"?>
<comments xmlns="http://schemas.openxmlformats.org/spreadsheetml/2006/main">
  <authors>
    <author>Usuario</author>
  </authors>
  <commentList>
    <comment ref="I5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I6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I68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Usuario</author>
  </authors>
  <commentList>
    <comment ref="I56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Usuario</author>
  </authors>
  <commentList>
    <comment ref="I5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Usuario</author>
  </authors>
  <commentList>
    <comment ref="I67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Usuario</author>
  </authors>
  <commentList>
    <comment ref="I62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<sst xmlns="http://schemas.openxmlformats.org/spreadsheetml/2006/main" count="1089" uniqueCount="187">
  <si>
    <t>N° GARRON</t>
  </si>
  <si>
    <t>TROPA</t>
  </si>
  <si>
    <t>KG 1/2 A</t>
  </si>
  <si>
    <t>KG 1/2 B</t>
  </si>
  <si>
    <t>ROMANEO FAENA BOVINA</t>
  </si>
  <si>
    <t>RIÑON</t>
  </si>
  <si>
    <t>HIGADO</t>
  </si>
  <si>
    <t>CORAZON</t>
  </si>
  <si>
    <t>TRIPA GORDA</t>
  </si>
  <si>
    <t>RABO</t>
  </si>
  <si>
    <t>LENGUA</t>
  </si>
  <si>
    <t>total</t>
  </si>
  <si>
    <t>KG 1/2 izq</t>
  </si>
  <si>
    <t>KG 1/2 der</t>
  </si>
  <si>
    <t>TIPIFICACION</t>
  </si>
  <si>
    <t>ARTICULO</t>
  </si>
  <si>
    <t>USUARIO</t>
  </si>
  <si>
    <t>GUARDADO EN CAMARA</t>
  </si>
  <si>
    <t>ELABORADO KG</t>
  </si>
  <si>
    <t>BOLSAS</t>
  </si>
  <si>
    <t>CHINCHULIN (KG)</t>
  </si>
  <si>
    <t>MOLLEJAS (KG)</t>
  </si>
  <si>
    <t>TENDON</t>
  </si>
  <si>
    <t>CENTRO DE ENTRAÑA</t>
  </si>
  <si>
    <t>SESOS</t>
  </si>
  <si>
    <t>RINDE</t>
  </si>
  <si>
    <t>PROM.</t>
  </si>
  <si>
    <t>Nº 
GARRON</t>
  </si>
  <si>
    <t>Nº
 ANIMAL</t>
  </si>
  <si>
    <t>TIPO DE ANIMAL</t>
  </si>
  <si>
    <t>Nº CARAVANA</t>
  </si>
  <si>
    <t>KG ENTRADA</t>
  </si>
  <si>
    <t>TOTAL KG</t>
  </si>
  <si>
    <t xml:space="preserve">RINDE
FAENA </t>
  </si>
  <si>
    <t>CANTIDAD</t>
  </si>
  <si>
    <t>HUESO</t>
  </si>
  <si>
    <t>QUIJADA (KG)</t>
  </si>
  <si>
    <t>CARNE DE CABEZA (KG)</t>
  </si>
  <si>
    <t>GRASA</t>
  </si>
  <si>
    <t>BOLSA AZUL</t>
  </si>
  <si>
    <t>PESAJE INTERNO</t>
  </si>
  <si>
    <t>N° CABEZA</t>
  </si>
  <si>
    <t>DIENTES</t>
  </si>
  <si>
    <t xml:space="preserve">FECHA:     </t>
  </si>
  <si>
    <t>FECHA:</t>
  </si>
  <si>
    <t>TROPA:</t>
  </si>
  <si>
    <t>TROPA Nº</t>
  </si>
  <si>
    <t>TIPO</t>
  </si>
  <si>
    <t>LOTE:</t>
  </si>
  <si>
    <t>RAZA</t>
  </si>
  <si>
    <t>Estab. Faenador: Solemar Alimentaria S.A.</t>
  </si>
  <si>
    <t>Matricula: 300</t>
  </si>
  <si>
    <t>Nº SENASA: 3986</t>
  </si>
  <si>
    <t xml:space="preserve">Usuario/Matarife: </t>
  </si>
  <si>
    <t>Productor:</t>
  </si>
  <si>
    <t xml:space="preserve">Matricula: </t>
  </si>
  <si>
    <t>Nº DTE:</t>
  </si>
  <si>
    <t>Nº Guia:</t>
  </si>
  <si>
    <t>Cuartos</t>
  </si>
  <si>
    <t>Kg</t>
  </si>
  <si>
    <t>Nº Tropa:</t>
  </si>
  <si>
    <t>VQ</t>
  </si>
  <si>
    <t>Cantidad Cabeza:</t>
  </si>
  <si>
    <t>NT</t>
  </si>
  <si>
    <t>Kg Vivo entrada:</t>
  </si>
  <si>
    <t>NO</t>
  </si>
  <si>
    <t>Kg 1/2 Res</t>
  </si>
  <si>
    <t>TO</t>
  </si>
  <si>
    <t>Rinde:</t>
  </si>
  <si>
    <t>VA</t>
  </si>
  <si>
    <t>Promedio:</t>
  </si>
  <si>
    <t>MEJ</t>
  </si>
  <si>
    <t>Denticion</t>
  </si>
  <si>
    <t>Clasificacion</t>
  </si>
  <si>
    <t>Fecha Faena:</t>
  </si>
  <si>
    <t>CHINCHU - LAVADITO</t>
  </si>
  <si>
    <t>DESTINO</t>
  </si>
  <si>
    <t>KG</t>
  </si>
  <si>
    <t>F. FAENA</t>
  </si>
  <si>
    <t>F. ELAB.</t>
  </si>
  <si>
    <t>F. VENC.</t>
  </si>
  <si>
    <t>Fecha Ing.:</t>
  </si>
  <si>
    <t>Hora:</t>
  </si>
  <si>
    <t>MENUDENCIA</t>
  </si>
  <si>
    <t>Cantidades</t>
  </si>
  <si>
    <t>Unidad</t>
  </si>
  <si>
    <t>Kg Dec.</t>
  </si>
  <si>
    <t>TOTALES</t>
  </si>
  <si>
    <t>SUBPRODUCTOS</t>
  </si>
  <si>
    <t>UN.</t>
  </si>
  <si>
    <t>CUERO</t>
  </si>
  <si>
    <t>GRASA FAENA</t>
  </si>
  <si>
    <t xml:space="preserve">GRASA DREASING </t>
  </si>
  <si>
    <t>DESPERDICIO DE FAENA</t>
  </si>
  <si>
    <t>FERREYRA MARTIN</t>
  </si>
  <si>
    <t>FRIGVIRO SAS</t>
  </si>
  <si>
    <t>193-194-198</t>
  </si>
  <si>
    <t>BOSQUES AMADOS SRL</t>
  </si>
  <si>
    <t>FERREYRA ANDREA</t>
  </si>
  <si>
    <t>RUFFINI AGUSTIN</t>
  </si>
  <si>
    <t>FECHA:       20/05/2026</t>
  </si>
  <si>
    <t>TESSILE JUAN BLAS</t>
  </si>
  <si>
    <t>031806887-9</t>
  </si>
  <si>
    <t>HE</t>
  </si>
  <si>
    <t>A067</t>
  </si>
  <si>
    <t>B151</t>
  </si>
  <si>
    <t>LASTRA PATRICIO ROSENDO</t>
  </si>
  <si>
    <t>031797655-0</t>
  </si>
  <si>
    <t>CA</t>
  </si>
  <si>
    <t>AA</t>
  </si>
  <si>
    <t>A180</t>
  </si>
  <si>
    <t>C440</t>
  </si>
  <si>
    <t>A668</t>
  </si>
  <si>
    <t>A093</t>
  </si>
  <si>
    <t>A253</t>
  </si>
  <si>
    <t>A635</t>
  </si>
  <si>
    <t>A642</t>
  </si>
  <si>
    <t>C375</t>
  </si>
  <si>
    <t>C327</t>
  </si>
  <si>
    <t>A009</t>
  </si>
  <si>
    <t>SZLESZYNKI CARLOS ALBERTO</t>
  </si>
  <si>
    <t>031805127-5</t>
  </si>
  <si>
    <t>G-RCO26-01609</t>
  </si>
  <si>
    <t>A-</t>
  </si>
  <si>
    <t>A066</t>
  </si>
  <si>
    <t>C492</t>
  </si>
  <si>
    <t>I238</t>
  </si>
  <si>
    <t>G574</t>
  </si>
  <si>
    <t>A615</t>
  </si>
  <si>
    <t>A061</t>
  </si>
  <si>
    <t>G564</t>
  </si>
  <si>
    <t>S/L</t>
  </si>
  <si>
    <t>E416</t>
  </si>
  <si>
    <t>G847</t>
  </si>
  <si>
    <t>C254</t>
  </si>
  <si>
    <t>C814</t>
  </si>
  <si>
    <t>I244</t>
  </si>
  <si>
    <t>A646</t>
  </si>
  <si>
    <t>ARMINDA SRL</t>
  </si>
  <si>
    <t>031812949-5</t>
  </si>
  <si>
    <t>-</t>
  </si>
  <si>
    <t>I567</t>
  </si>
  <si>
    <t>B536</t>
  </si>
  <si>
    <t>F544</t>
  </si>
  <si>
    <t>A611</t>
  </si>
  <si>
    <t>F567</t>
  </si>
  <si>
    <t>E895</t>
  </si>
  <si>
    <t>A421</t>
  </si>
  <si>
    <t>E674</t>
  </si>
  <si>
    <t>M970</t>
  </si>
  <si>
    <t>B863</t>
  </si>
  <si>
    <t>C487</t>
  </si>
  <si>
    <t>C043</t>
  </si>
  <si>
    <t>B727</t>
  </si>
  <si>
    <t>B398</t>
  </si>
  <si>
    <t>031798020-5</t>
  </si>
  <si>
    <t>G-CHO26-02736</t>
  </si>
  <si>
    <t>A851</t>
  </si>
  <si>
    <t>A924</t>
  </si>
  <si>
    <t>A767</t>
  </si>
  <si>
    <t>A845</t>
  </si>
  <si>
    <t>D197</t>
  </si>
  <si>
    <t>A947</t>
  </si>
  <si>
    <t>S/C</t>
  </si>
  <si>
    <t>F002</t>
  </si>
  <si>
    <t>C458</t>
  </si>
  <si>
    <t>B445</t>
  </si>
  <si>
    <t>FERREYRA ANDREA PAOLA</t>
  </si>
  <si>
    <t xml:space="preserve">RUFFINI GABRIEL </t>
  </si>
  <si>
    <t>031808784-9</t>
  </si>
  <si>
    <t>G-CHO26-02760</t>
  </si>
  <si>
    <t>D188</t>
  </si>
  <si>
    <t>D469</t>
  </si>
  <si>
    <t>D472</t>
  </si>
  <si>
    <t>A366</t>
  </si>
  <si>
    <t>RUFFINI GABRIEL</t>
  </si>
  <si>
    <t>031808640-0</t>
  </si>
  <si>
    <t>G-CHO26-02761</t>
  </si>
  <si>
    <t>A074</t>
  </si>
  <si>
    <t>D767</t>
  </si>
  <si>
    <t>2D - VQ</t>
  </si>
  <si>
    <t>2D - MEJ</t>
  </si>
  <si>
    <t>2D - NT</t>
  </si>
  <si>
    <t>6D - VA</t>
  </si>
  <si>
    <t>24 28KG DECOMISO</t>
  </si>
  <si>
    <t>7 3 DECOMISOS</t>
  </si>
  <si>
    <t>15 1 DECOMISO 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</si>
</sst>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12" xfId="0" applyBorder="1"/>
    <xf numFmtId="0" fontId="0" fillId="0" borderId="0" xfId="0" applyFont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16" xfId="0" applyFont="1" applyBorder="1"/>
    <xf numFmtId="0" fontId="1" fillId="0" borderId="6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30" xfId="0" applyFont="1" applyBorder="1" applyAlignment="1">
      <alignment horizontal="right"/>
    </xf>
    <xf numFmtId="14" fontId="0" fillId="0" borderId="30" xfId="0" applyNumberFormat="1" applyBorder="1" applyAlignment="1">
      <alignment horizontal="center"/>
    </xf>
    <xf numFmtId="14" fontId="1" fillId="0" borderId="30" xfId="0" applyNumberFormat="1" applyFont="1" applyBorder="1" applyAlignment="1">
      <alignment horizontal="right"/>
    </xf>
    <xf numFmtId="0" fontId="1" fillId="0" borderId="31" xfId="0" applyFont="1" applyFill="1" applyBorder="1" applyAlignment="1">
      <alignment horizontal="right" vertical="center"/>
    </xf>
    <xf numFmtId="0" fontId="0" fillId="0" borderId="31" xfId="0" applyBorder="1"/>
    <xf numFmtId="0" fontId="2" fillId="0" borderId="30" xfId="0" applyFont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2" borderId="3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0" fillId="0" borderId="14" xfId="0" applyFont="1" applyBorder="1" applyAlignment="1">
      <alignment horizontal="right" vertical="center"/>
    </xf>
    <xf numFmtId="0" fontId="0" fillId="0" borderId="39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3" xfId="0" applyNumberFormat="1" applyFont="1" applyBorder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6" fillId="0" borderId="18" xfId="0" applyFont="1" applyBorder="1"/>
    <xf numFmtId="0" fontId="6" fillId="0" borderId="19" xfId="0" applyFont="1" applyBorder="1"/>
    <xf numFmtId="2" fontId="6" fillId="0" borderId="19" xfId="0" applyNumberFormat="1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0" xfId="0" applyFont="1" applyBorder="1"/>
    <xf numFmtId="0" fontId="7" fillId="0" borderId="42" xfId="0" applyFont="1" applyBorder="1" applyAlignment="1">
      <alignment horizontal="center" vertical="center"/>
    </xf>
    <xf numFmtId="10" fontId="7" fillId="0" borderId="42" xfId="0" applyNumberFormat="1" applyFont="1" applyBorder="1" applyAlignment="1">
      <alignment vertical="center"/>
    </xf>
    <xf numFmtId="0" fontId="6" fillId="0" borderId="22" xfId="0" applyFont="1" applyBorder="1"/>
    <xf numFmtId="2" fontId="6" fillId="0" borderId="0" xfId="0" applyNumberFormat="1" applyFont="1" applyBorder="1"/>
    <xf numFmtId="2" fontId="7" fillId="0" borderId="42" xfId="0" applyNumberFormat="1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4" xfId="0" applyFont="1" applyBorder="1"/>
    <xf numFmtId="0" fontId="6" fillId="0" borderId="25" xfId="0" applyFont="1" applyBorder="1"/>
    <xf numFmtId="2" fontId="6" fillId="0" borderId="25" xfId="0" applyNumberFormat="1" applyFont="1" applyBorder="1"/>
    <xf numFmtId="0" fontId="6" fillId="0" borderId="26" xfId="0" applyFont="1" applyBorder="1"/>
    <xf numFmtId="0" fontId="6" fillId="0" borderId="21" xfId="0" applyFont="1" applyBorder="1" applyAlignment="1">
      <alignment horizontal="right"/>
    </xf>
    <xf numFmtId="2" fontId="6" fillId="0" borderId="25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6" fillId="0" borderId="25" xfId="0" applyFont="1" applyBorder="1" applyAlignment="1">
      <alignment horizontal="right"/>
    </xf>
    <xf numFmtId="0" fontId="7" fillId="0" borderId="25" xfId="0" applyFont="1" applyBorder="1" applyAlignment="1">
      <alignment vertical="center"/>
    </xf>
    <xf numFmtId="1" fontId="7" fillId="0" borderId="25" xfId="0" applyNumberFormat="1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" fontId="11" fillId="0" borderId="31" xfId="1" applyNumberFormat="1" applyFont="1" applyFill="1" applyBorder="1" applyAlignment="1">
      <alignment horizontal="center" vertical="center"/>
    </xf>
    <xf numFmtId="10" fontId="10" fillId="0" borderId="31" xfId="1" applyNumberFormat="1" applyFont="1" applyBorder="1" applyAlignment="1">
      <alignment horizontal="right"/>
    </xf>
    <xf numFmtId="0" fontId="9" fillId="0" borderId="40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1" fontId="11" fillId="0" borderId="40" xfId="1" applyNumberFormat="1" applyFont="1" applyFill="1" applyBorder="1" applyAlignment="1">
      <alignment horizontal="center" vertical="center"/>
    </xf>
    <xf numFmtId="10" fontId="10" fillId="0" borderId="40" xfId="1" applyNumberFormat="1" applyFont="1" applyBorder="1" applyAlignment="1">
      <alignment horizontal="right"/>
    </xf>
    <xf numFmtId="10" fontId="10" fillId="0" borderId="40" xfId="1" applyNumberFormat="1" applyFont="1" applyFill="1" applyBorder="1" applyAlignment="1">
      <alignment horizontal="right"/>
    </xf>
    <xf numFmtId="4" fontId="9" fillId="0" borderId="41" xfId="0" applyNumberFormat="1" applyFont="1" applyBorder="1" applyAlignment="1">
      <alignment horizontal="center"/>
    </xf>
    <xf numFmtId="1" fontId="9" fillId="0" borderId="30" xfId="1" applyNumberFormat="1" applyFont="1" applyBorder="1" applyAlignment="1">
      <alignment horizontal="center" vertical="center"/>
    </xf>
    <xf numFmtId="4" fontId="9" fillId="0" borderId="30" xfId="0" applyNumberFormat="1" applyFont="1" applyBorder="1"/>
    <xf numFmtId="10" fontId="10" fillId="0" borderId="30" xfId="1" applyNumberFormat="1" applyFont="1" applyBorder="1"/>
    <xf numFmtId="10" fontId="6" fillId="0" borderId="0" xfId="0" applyNumberFormat="1" applyFont="1"/>
    <xf numFmtId="0" fontId="0" fillId="0" borderId="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7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30" xfId="0" applyFont="1" applyBorder="1" applyAlignment="1">
      <alignment horizontal="center"/>
    </xf>
    <xf numFmtId="14" fontId="12" fillId="0" borderId="30" xfId="0" applyNumberFormat="1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2" fontId="6" fillId="0" borderId="30" xfId="0" applyNumberFormat="1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7" fillId="0" borderId="0" xfId="0" applyNumberFormat="1" applyFont="1"/>
    <xf numFmtId="2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vertical="center"/>
    </xf>
    <xf numFmtId="2" fontId="14" fillId="0" borderId="30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0" xfId="0" applyFont="1" applyBorder="1"/>
    <xf numFmtId="2" fontId="6" fillId="0" borderId="48" xfId="0" applyNumberFormat="1" applyFont="1" applyBorder="1"/>
    <xf numFmtId="2" fontId="6" fillId="0" borderId="30" xfId="0" applyNumberFormat="1" applyFont="1" applyBorder="1"/>
    <xf numFmtId="2" fontId="6" fillId="0" borderId="11" xfId="0" applyNumberFormat="1" applyFont="1" applyBorder="1"/>
    <xf numFmtId="0" fontId="6" fillId="0" borderId="30" xfId="0" applyFont="1" applyBorder="1"/>
    <xf numFmtId="2" fontId="6" fillId="0" borderId="44" xfId="0" applyNumberFormat="1" applyFont="1" applyBorder="1"/>
    <xf numFmtId="0" fontId="14" fillId="0" borderId="0" xfId="0" applyFont="1"/>
    <xf numFmtId="2" fontId="14" fillId="0" borderId="0" xfId="0" applyNumberFormat="1" applyFont="1"/>
    <xf numFmtId="0" fontId="14" fillId="0" borderId="30" xfId="0" applyFont="1" applyBorder="1" applyAlignment="1">
      <alignment horizontal="center" vertical="center" wrapText="1"/>
    </xf>
    <xf numFmtId="10" fontId="6" fillId="0" borderId="31" xfId="1" applyNumberFormat="1" applyFont="1" applyBorder="1" applyAlignment="1">
      <alignment horizontal="center"/>
    </xf>
    <xf numFmtId="2" fontId="6" fillId="0" borderId="31" xfId="0" applyNumberFormat="1" applyFont="1" applyBorder="1"/>
    <xf numFmtId="0" fontId="6" fillId="0" borderId="40" xfId="0" applyFont="1" applyBorder="1" applyAlignment="1">
      <alignment horizontal="center"/>
    </xf>
    <xf numFmtId="2" fontId="6" fillId="0" borderId="40" xfId="0" applyNumberFormat="1" applyFont="1" applyBorder="1"/>
    <xf numFmtId="10" fontId="6" fillId="0" borderId="40" xfId="1" applyNumberFormat="1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2" fontId="6" fillId="0" borderId="41" xfId="0" applyNumberFormat="1" applyFont="1" applyBorder="1"/>
    <xf numFmtId="0" fontId="6" fillId="0" borderId="30" xfId="0" applyFont="1" applyBorder="1" applyAlignment="1">
      <alignment horizontal="center"/>
    </xf>
    <xf numFmtId="10" fontId="6" fillId="0" borderId="30" xfId="1" applyNumberFormat="1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1" xfId="0" applyFont="1" applyBorder="1" applyAlignment="1">
      <alignment horizont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/>
    </xf>
    <xf numFmtId="0" fontId="0" fillId="3" borderId="33" xfId="0" applyFont="1" applyFill="1" applyBorder="1" applyAlignment="1">
      <alignment horizontal="center"/>
    </xf>
    <xf numFmtId="0" fontId="0" fillId="3" borderId="49" xfId="0" applyFont="1" applyFill="1" applyBorder="1" applyAlignment="1">
      <alignment horizont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/>
    </xf>
    <xf numFmtId="0" fontId="0" fillId="3" borderId="51" xfId="0" applyFont="1" applyFill="1" applyBorder="1" applyAlignment="1">
      <alignment horizontal="center"/>
    </xf>
    <xf numFmtId="0" fontId="0" fillId="3" borderId="52" xfId="0" applyFont="1" applyFill="1" applyBorder="1" applyAlignment="1">
      <alignment horizontal="center"/>
    </xf>
    <xf numFmtId="14" fontId="17" fillId="0" borderId="0" xfId="0" applyNumberFormat="1" applyFont="1"/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30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/>
    </xf>
    <xf numFmtId="0" fontId="9" fillId="0" borderId="30" xfId="0" applyFont="1" applyBorder="1" applyAlignment="1">
      <alignment horizontal="center"/>
    </xf>
    <xf numFmtId="0" fontId="13" fillId="0" borderId="4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2" fontId="9" fillId="0" borderId="31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2" fontId="7" fillId="0" borderId="0" xfId="0" applyNumberFormat="1" applyFont="1" applyAlignment="1">
      <alignment horizontal="center"/>
    </xf>
    <xf numFmtId="0" fontId="9" fillId="0" borderId="3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20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22" xfId="0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3" borderId="30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11" fillId="0" borderId="37" xfId="0" applyNumberFormat="1" applyFont="1" applyBorder="1" applyAlignment="1">
      <alignment horizontal="center"/>
    </xf>
    <xf numFmtId="4" fontId="11" fillId="0" borderId="46" xfId="0" applyNumberFormat="1" applyFont="1" applyBorder="1" applyAlignment="1">
      <alignment horizontal="center"/>
    </xf>
    <xf numFmtId="4" fontId="9" fillId="0" borderId="53" xfId="0" applyNumberFormat="1" applyFont="1" applyBorder="1"/>
    <xf numFmtId="4" fontId="9" fillId="0" borderId="48" xfId="0" applyNumberFormat="1" applyFont="1" applyBorder="1"/>
    <xf numFmtId="2" fontId="9" fillId="0" borderId="40" xfId="0" applyNumberFormat="1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4" fontId="9" fillId="0" borderId="41" xfId="1" applyNumberFormat="1" applyFont="1" applyBorder="1" applyAlignment="1">
      <alignment horizontal="center" vertical="center"/>
    </xf>
    <xf numFmtId="0" fontId="0" fillId="0" borderId="53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8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/>
    </xf>
    <xf numFmtId="0" fontId="0" fillId="0" borderId="40" xfId="0" applyFont="1" applyBorder="1" applyAlignment="1">
      <alignment horizontal="center"/>
    </xf>
    <xf numFmtId="0" fontId="0" fillId="0" borderId="4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0" fillId="0" borderId="40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514475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4" name="3 Imagen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2" name="1 Imagen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</xdr:row>
      <xdr:rowOff>38100</xdr:rowOff>
    </xdr:from>
    <xdr:to>
      <xdr:col>3</xdr:col>
      <xdr:colOff>95250</xdr:colOff>
      <xdr:row>2</xdr:row>
      <xdr:rowOff>211722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143000" cy="60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56"/>
  <sheetViews>
    <sheetView topLeftCell="A17" zoomScaleNormal="100" workbookViewId="0">
      <selection activeCell="N28" sqref="B2:N28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+M27</f>
        <v>0.58171052631578946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+L27/D27</f>
        <v>221.05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94</v>
      </c>
      <c r="F8" s="187"/>
      <c r="G8" s="187"/>
      <c r="H8" s="188"/>
      <c r="I8" s="70" t="s">
        <v>54</v>
      </c>
      <c r="J8" s="174" t="s">
        <v>101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28012</v>
      </c>
      <c r="F9" s="187"/>
      <c r="G9" s="187"/>
      <c r="H9" s="188"/>
      <c r="I9" s="70" t="s">
        <v>56</v>
      </c>
      <c r="J9" s="110" t="s">
        <v>102</v>
      </c>
      <c r="K9" s="105" t="s">
        <v>57</v>
      </c>
      <c r="L9" s="181">
        <v>419103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0.59375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193</v>
      </c>
      <c r="F15" s="186"/>
      <c r="H15" s="51"/>
      <c r="I15" s="73"/>
      <c r="J15" s="104" t="s">
        <v>61</v>
      </c>
      <c r="K15" s="106">
        <f>+COUNTIF($G$24:$G$27,"VQ")*2</f>
        <v>0</v>
      </c>
      <c r="L15" s="106">
        <f>+SUMIF($G$25:$G$26,"VQ",$L$25:$L$26)</f>
        <v>0</v>
      </c>
      <c r="N15" s="61"/>
    </row>
    <row r="16" spans="2:14" x14ac:dyDescent="0.25">
      <c r="B16" s="57"/>
      <c r="C16" s="173" t="s">
        <v>62</v>
      </c>
      <c r="D16" s="173"/>
      <c r="E16" s="181">
        <f>+D27</f>
        <v>2</v>
      </c>
      <c r="F16" s="181"/>
      <c r="H16" s="51"/>
      <c r="I16" s="73"/>
      <c r="J16" s="104" t="s">
        <v>63</v>
      </c>
      <c r="K16" s="106">
        <f>+COUNTIF($G$24:$G$27,"NT")*2</f>
        <v>4</v>
      </c>
      <c r="L16" s="106">
        <f>+SUMIF($G$25:$G$26,"NT",$L$25:$L$26)</f>
        <v>442.1</v>
      </c>
      <c r="N16" s="61"/>
    </row>
    <row r="17" spans="2:14" x14ac:dyDescent="0.25">
      <c r="B17" s="57"/>
      <c r="C17" s="173" t="s">
        <v>64</v>
      </c>
      <c r="D17" s="173"/>
      <c r="E17" s="180">
        <f>+I27</f>
        <v>760</v>
      </c>
      <c r="F17" s="181"/>
      <c r="H17" s="51"/>
      <c r="I17" s="73"/>
      <c r="J17" s="104" t="s">
        <v>65</v>
      </c>
      <c r="K17" s="106">
        <f>+COUNTIF($G$24:$G$27,"NO")*2</f>
        <v>0</v>
      </c>
      <c r="L17" s="106">
        <f>+SUMIF($G$25:$G$26,"NO",$L$25:$L$26)</f>
        <v>0</v>
      </c>
      <c r="N17" s="61"/>
    </row>
    <row r="18" spans="2:14" x14ac:dyDescent="0.25">
      <c r="B18" s="57"/>
      <c r="C18" s="173" t="s">
        <v>66</v>
      </c>
      <c r="D18" s="173"/>
      <c r="E18" s="180">
        <f>+L27</f>
        <v>442.1</v>
      </c>
      <c r="F18" s="181"/>
      <c r="H18" s="51"/>
      <c r="I18" s="73"/>
      <c r="J18" s="104" t="s">
        <v>67</v>
      </c>
      <c r="K18" s="106">
        <f>+COUNTIF($G$24:$G$27,"TO")*2</f>
        <v>0</v>
      </c>
      <c r="L18" s="106">
        <f>+SUMIF($G$25:$G$26,"TO",$L$25:$L$26)</f>
        <v>0</v>
      </c>
      <c r="N18" s="61"/>
    </row>
    <row r="19" spans="2:14" x14ac:dyDescent="0.25">
      <c r="B19" s="57"/>
      <c r="C19" s="173" t="s">
        <v>68</v>
      </c>
      <c r="D19" s="173"/>
      <c r="E19" s="182">
        <f>+M27</f>
        <v>0.58171052631578946</v>
      </c>
      <c r="F19" s="181"/>
      <c r="G19" s="73"/>
      <c r="H19" s="114"/>
      <c r="I19" s="73"/>
      <c r="J19" s="104" t="s">
        <v>69</v>
      </c>
      <c r="K19" s="106">
        <f>+COUNTIF($G$24:$G$27,"VA")*2</f>
        <v>0</v>
      </c>
      <c r="L19" s="106">
        <f>+SUMIF($G$25:$G$26,"VA",$L$25:$L$26)</f>
        <v>0</v>
      </c>
      <c r="N19" s="61"/>
    </row>
    <row r="20" spans="2:14" x14ac:dyDescent="0.25">
      <c r="B20" s="57"/>
      <c r="C20" s="173" t="s">
        <v>70</v>
      </c>
      <c r="D20" s="173"/>
      <c r="E20" s="174">
        <f>+L27/D27</f>
        <v>221.05</v>
      </c>
      <c r="F20" s="174"/>
      <c r="G20" s="73"/>
      <c r="H20" s="114"/>
      <c r="I20" s="73"/>
      <c r="J20" s="104" t="s">
        <v>71</v>
      </c>
      <c r="K20" s="106">
        <f>+COUNTIF($G$24:$G$27,"MEJ")*2</f>
        <v>0</v>
      </c>
      <c r="L20" s="106">
        <f>+SUMIF($G$25:$G$26,"MEJ",$L$25:$L$26)</f>
        <v>0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1">
        <v>52</v>
      </c>
      <c r="D25" s="81">
        <v>2</v>
      </c>
      <c r="E25" s="229" t="s">
        <v>103</v>
      </c>
      <c r="F25" s="137" t="s">
        <v>182</v>
      </c>
      <c r="G25" s="224" t="s">
        <v>63</v>
      </c>
      <c r="H25" s="83" t="s">
        <v>105</v>
      </c>
      <c r="I25" s="208">
        <v>373</v>
      </c>
      <c r="J25" s="139">
        <v>111</v>
      </c>
      <c r="K25" s="215">
        <v>111.5</v>
      </c>
      <c r="L25" s="210">
        <f t="shared" ref="L25:L26" si="0">+J25+K25</f>
        <v>222.5</v>
      </c>
      <c r="M25" s="84">
        <f t="shared" ref="M25:M27" si="1">+L25/I25</f>
        <v>0.59651474530831095</v>
      </c>
      <c r="N25" s="61"/>
    </row>
    <row r="26" spans="2:14" x14ac:dyDescent="0.25">
      <c r="B26" s="57"/>
      <c r="C26" s="85">
        <v>53</v>
      </c>
      <c r="D26" s="85">
        <v>1</v>
      </c>
      <c r="E26" s="222" t="s">
        <v>103</v>
      </c>
      <c r="F26" s="140" t="s">
        <v>182</v>
      </c>
      <c r="G26" s="225" t="s">
        <v>63</v>
      </c>
      <c r="H26" s="87" t="s">
        <v>104</v>
      </c>
      <c r="I26" s="209">
        <v>387</v>
      </c>
      <c r="J26" s="142">
        <v>109.3</v>
      </c>
      <c r="K26" s="218">
        <v>110.3</v>
      </c>
      <c r="L26" s="211">
        <f t="shared" si="0"/>
        <v>219.6</v>
      </c>
      <c r="M26" s="88">
        <f t="shared" si="1"/>
        <v>0.56744186046511624</v>
      </c>
      <c r="N26" s="61"/>
    </row>
    <row r="27" spans="2:14" x14ac:dyDescent="0.25">
      <c r="B27" s="57"/>
      <c r="C27" s="107"/>
      <c r="D27" s="107">
        <f>+COUNT($D$24:$D$26)</f>
        <v>2</v>
      </c>
      <c r="E27" s="107"/>
      <c r="F27" s="227"/>
      <c r="G27" s="162"/>
      <c r="H27" s="91"/>
      <c r="I27" s="92">
        <f>SUM($I$24:$I$26)</f>
        <v>760</v>
      </c>
      <c r="J27" s="90">
        <f>SUM($J$24:$J$26)</f>
        <v>220.3</v>
      </c>
      <c r="K27" s="214">
        <f>SUM($K$24:$K$26)</f>
        <v>221.8</v>
      </c>
      <c r="L27" s="92">
        <f>SUM($L$24:$L$26)</f>
        <v>442.1</v>
      </c>
      <c r="M27" s="93">
        <f t="shared" si="1"/>
        <v>0.58171052631578946</v>
      </c>
      <c r="N27" s="61"/>
    </row>
    <row r="28" spans="2:14" ht="16.5" thickBot="1" x14ac:dyDescent="0.3">
      <c r="B28" s="66"/>
      <c r="C28" s="67"/>
      <c r="D28" s="67"/>
      <c r="E28" s="67"/>
      <c r="F28" s="67"/>
      <c r="G28" s="67"/>
      <c r="H28" s="68"/>
      <c r="I28" s="67"/>
      <c r="J28" s="68"/>
      <c r="K28" s="67"/>
      <c r="L28" s="67"/>
      <c r="M28" s="67"/>
      <c r="N28" s="69"/>
    </row>
    <row r="29" spans="2:14" ht="17.25" thickTop="1" thickBot="1" x14ac:dyDescent="0.3">
      <c r="B29" s="54"/>
      <c r="C29" s="54"/>
      <c r="D29" s="54"/>
      <c r="E29" s="54"/>
      <c r="F29" s="54"/>
      <c r="G29" s="54"/>
      <c r="H29" s="55"/>
      <c r="I29" s="54"/>
      <c r="J29" s="55"/>
      <c r="K29" s="54"/>
      <c r="L29" s="54"/>
      <c r="M29" s="54"/>
      <c r="N29" s="54"/>
    </row>
    <row r="30" spans="2:14" ht="16.5" thickTop="1" x14ac:dyDescent="0.25">
      <c r="B30" s="53"/>
      <c r="C30" s="54"/>
      <c r="D30" s="54"/>
      <c r="E30" s="54"/>
      <c r="F30" s="54"/>
      <c r="G30" s="54"/>
      <c r="H30" s="55"/>
      <c r="I30" s="54"/>
      <c r="J30" s="55"/>
      <c r="K30" s="54"/>
      <c r="L30" s="54"/>
      <c r="M30" s="54"/>
      <c r="N30" s="56"/>
    </row>
    <row r="31" spans="2:14" ht="32.25" customHeight="1" x14ac:dyDescent="0.25">
      <c r="B31" s="57"/>
      <c r="D31" s="163" t="s">
        <v>83</v>
      </c>
      <c r="E31" s="164"/>
      <c r="F31" s="164"/>
      <c r="G31" s="164"/>
      <c r="H31" s="115" t="s">
        <v>84</v>
      </c>
      <c r="I31" s="116" t="s">
        <v>59</v>
      </c>
      <c r="J31" s="117" t="s">
        <v>85</v>
      </c>
      <c r="K31" s="118" t="s">
        <v>86</v>
      </c>
      <c r="N31" s="61"/>
    </row>
    <row r="32" spans="2:14" x14ac:dyDescent="0.25">
      <c r="B32" s="57"/>
      <c r="D32" s="155" t="s">
        <v>20</v>
      </c>
      <c r="E32" s="156"/>
      <c r="F32" s="156"/>
      <c r="G32" s="156"/>
      <c r="H32" s="119"/>
      <c r="J32" s="119"/>
      <c r="K32" s="120"/>
      <c r="N32" s="61"/>
    </row>
    <row r="33" spans="2:14" x14ac:dyDescent="0.25">
      <c r="B33" s="57"/>
      <c r="D33" s="155" t="s">
        <v>7</v>
      </c>
      <c r="E33" s="156"/>
      <c r="F33" s="156"/>
      <c r="G33" s="156"/>
      <c r="H33" s="119"/>
      <c r="J33" s="119"/>
      <c r="K33" s="120"/>
      <c r="N33" s="61"/>
    </row>
    <row r="34" spans="2:14" x14ac:dyDescent="0.25">
      <c r="B34" s="57"/>
      <c r="D34" s="155" t="s">
        <v>6</v>
      </c>
      <c r="E34" s="156"/>
      <c r="F34" s="156"/>
      <c r="G34" s="156"/>
      <c r="H34" s="119"/>
      <c r="J34" s="119"/>
      <c r="K34" s="120"/>
      <c r="N34" s="61"/>
    </row>
    <row r="35" spans="2:14" x14ac:dyDescent="0.25">
      <c r="B35" s="57"/>
      <c r="D35" s="155" t="s">
        <v>10</v>
      </c>
      <c r="E35" s="156"/>
      <c r="F35" s="156"/>
      <c r="G35" s="156"/>
      <c r="H35" s="119"/>
      <c r="J35" s="119"/>
      <c r="K35" s="120"/>
      <c r="N35" s="61"/>
    </row>
    <row r="36" spans="2:14" x14ac:dyDescent="0.25">
      <c r="B36" s="57"/>
      <c r="D36" s="155" t="s">
        <v>21</v>
      </c>
      <c r="E36" s="156"/>
      <c r="F36" s="156"/>
      <c r="G36" s="156"/>
      <c r="H36" s="119"/>
      <c r="J36" s="119"/>
      <c r="K36" s="120"/>
      <c r="N36" s="61"/>
    </row>
    <row r="37" spans="2:14" x14ac:dyDescent="0.25">
      <c r="B37" s="57"/>
      <c r="D37" s="155" t="s">
        <v>5</v>
      </c>
      <c r="E37" s="156"/>
      <c r="F37" s="156"/>
      <c r="G37" s="156"/>
      <c r="H37" s="119"/>
      <c r="J37" s="119"/>
      <c r="K37" s="120"/>
      <c r="N37" s="61"/>
    </row>
    <row r="38" spans="2:14" x14ac:dyDescent="0.25">
      <c r="B38" s="57"/>
      <c r="D38" s="155" t="s">
        <v>22</v>
      </c>
      <c r="E38" s="156"/>
      <c r="F38" s="156"/>
      <c r="G38" s="156"/>
      <c r="H38" s="119"/>
      <c r="J38" s="119"/>
      <c r="K38" s="120"/>
      <c r="N38" s="61"/>
    </row>
    <row r="39" spans="2:14" x14ac:dyDescent="0.25">
      <c r="B39" s="57"/>
      <c r="D39" s="155" t="s">
        <v>8</v>
      </c>
      <c r="E39" s="156"/>
      <c r="F39" s="156"/>
      <c r="G39" s="156"/>
      <c r="H39" s="119"/>
      <c r="J39" s="119"/>
      <c r="K39" s="120"/>
      <c r="N39" s="61"/>
    </row>
    <row r="40" spans="2:14" x14ac:dyDescent="0.25">
      <c r="B40" s="57"/>
      <c r="D40" s="155" t="s">
        <v>23</v>
      </c>
      <c r="E40" s="156"/>
      <c r="F40" s="156"/>
      <c r="G40" s="156"/>
      <c r="H40" s="119"/>
      <c r="J40" s="119"/>
      <c r="K40" s="120"/>
      <c r="N40" s="61"/>
    </row>
    <row r="41" spans="2:14" x14ac:dyDescent="0.25">
      <c r="B41" s="57"/>
      <c r="D41" s="155" t="s">
        <v>36</v>
      </c>
      <c r="E41" s="156"/>
      <c r="F41" s="156"/>
      <c r="G41" s="156"/>
      <c r="H41" s="119"/>
      <c r="J41" s="119"/>
      <c r="K41" s="120"/>
      <c r="N41" s="61"/>
    </row>
    <row r="42" spans="2:14" x14ac:dyDescent="0.25">
      <c r="B42" s="57"/>
      <c r="D42" s="155" t="s">
        <v>9</v>
      </c>
      <c r="E42" s="156"/>
      <c r="F42" s="156"/>
      <c r="G42" s="156"/>
      <c r="H42" s="119"/>
      <c r="J42" s="119"/>
      <c r="K42" s="120"/>
      <c r="N42" s="61"/>
    </row>
    <row r="43" spans="2:14" x14ac:dyDescent="0.25">
      <c r="B43" s="57"/>
      <c r="D43" s="155" t="s">
        <v>24</v>
      </c>
      <c r="E43" s="156"/>
      <c r="F43" s="156"/>
      <c r="G43" s="156"/>
      <c r="H43" s="119"/>
      <c r="J43" s="119"/>
      <c r="K43" s="120"/>
      <c r="N43" s="61"/>
    </row>
    <row r="44" spans="2:14" x14ac:dyDescent="0.25">
      <c r="B44" s="57"/>
      <c r="D44" s="155" t="s">
        <v>37</v>
      </c>
      <c r="E44" s="156"/>
      <c r="F44" s="156"/>
      <c r="G44" s="156"/>
      <c r="H44" s="119"/>
      <c r="J44" s="119"/>
      <c r="K44" s="120"/>
      <c r="N44" s="61"/>
    </row>
    <row r="45" spans="2:14" x14ac:dyDescent="0.25">
      <c r="B45" s="57"/>
      <c r="D45" s="157" t="s">
        <v>87</v>
      </c>
      <c r="E45" s="158"/>
      <c r="F45" s="158"/>
      <c r="G45" s="159"/>
      <c r="H45" s="121"/>
      <c r="I45" s="122">
        <f>SUM(I32:I44)</f>
        <v>0</v>
      </c>
      <c r="J45" s="123">
        <f>SUM(J32:J44)</f>
        <v>0</v>
      </c>
      <c r="K45" s="124">
        <f>SUM(K32:K44)</f>
        <v>0</v>
      </c>
      <c r="N45" s="61"/>
    </row>
    <row r="46" spans="2:14" ht="16.5" thickBot="1" x14ac:dyDescent="0.3">
      <c r="B46" s="66"/>
      <c r="C46" s="67"/>
      <c r="D46" s="67"/>
      <c r="E46" s="67"/>
      <c r="F46" s="67"/>
      <c r="G46" s="67"/>
      <c r="H46" s="68"/>
      <c r="I46" s="67"/>
      <c r="J46" s="68"/>
      <c r="K46" s="67"/>
      <c r="L46" s="67"/>
      <c r="M46" s="67"/>
      <c r="N46" s="69"/>
    </row>
    <row r="47" spans="2:14" ht="16.5" thickTop="1" x14ac:dyDescent="0.25">
      <c r="B47" s="57"/>
      <c r="G47" s="125"/>
      <c r="H47" s="126"/>
      <c r="I47" s="125"/>
      <c r="J47" s="126"/>
      <c r="N47" s="61"/>
    </row>
    <row r="48" spans="2:14" ht="15.75" customHeight="1" x14ac:dyDescent="0.25">
      <c r="B48" s="57"/>
      <c r="F48" s="160" t="s">
        <v>88</v>
      </c>
      <c r="G48" s="160"/>
      <c r="H48" s="127" t="s">
        <v>89</v>
      </c>
      <c r="I48" s="115" t="s">
        <v>77</v>
      </c>
      <c r="N48" s="61"/>
    </row>
    <row r="49" spans="2:14" x14ac:dyDescent="0.25">
      <c r="B49" s="57"/>
      <c r="F49" s="161" t="s">
        <v>35</v>
      </c>
      <c r="G49" s="161"/>
      <c r="H49" s="128"/>
      <c r="I49" s="129"/>
      <c r="N49" s="61"/>
    </row>
    <row r="50" spans="2:14" x14ac:dyDescent="0.25">
      <c r="B50" s="57"/>
      <c r="F50" s="152" t="s">
        <v>90</v>
      </c>
      <c r="G50" s="152"/>
      <c r="H50" s="130">
        <f>+D27</f>
        <v>2</v>
      </c>
      <c r="I50" s="131"/>
      <c r="N50" s="61"/>
    </row>
    <row r="51" spans="2:14" x14ac:dyDescent="0.25">
      <c r="B51" s="57"/>
      <c r="F51" s="152" t="s">
        <v>91</v>
      </c>
      <c r="G51" s="152"/>
      <c r="H51" s="132"/>
      <c r="I51" s="131"/>
      <c r="N51" s="61"/>
    </row>
    <row r="52" spans="2:14" x14ac:dyDescent="0.25">
      <c r="B52" s="57"/>
      <c r="F52" s="152" t="s">
        <v>92</v>
      </c>
      <c r="G52" s="152"/>
      <c r="H52" s="132"/>
      <c r="I52" s="131"/>
      <c r="N52" s="61"/>
    </row>
    <row r="53" spans="2:14" x14ac:dyDescent="0.25">
      <c r="B53" s="57"/>
      <c r="F53" s="153" t="s">
        <v>93</v>
      </c>
      <c r="G53" s="153"/>
      <c r="H53" s="133"/>
      <c r="I53" s="134"/>
      <c r="N53" s="61"/>
    </row>
    <row r="54" spans="2:14" x14ac:dyDescent="0.25">
      <c r="B54" s="57"/>
      <c r="F54" s="154" t="s">
        <v>87</v>
      </c>
      <c r="G54" s="154"/>
      <c r="H54" s="136"/>
      <c r="I54" s="121">
        <f>SUM(I49:I53)</f>
        <v>0</v>
      </c>
      <c r="N54" s="61"/>
    </row>
    <row r="55" spans="2:14" ht="16.5" thickBot="1" x14ac:dyDescent="0.3">
      <c r="B55" s="66"/>
      <c r="C55" s="67"/>
      <c r="D55" s="67"/>
      <c r="E55" s="67"/>
      <c r="F55" s="67"/>
      <c r="G55" s="67"/>
      <c r="H55" s="68"/>
      <c r="I55" s="67"/>
      <c r="J55" s="68"/>
      <c r="K55" s="67"/>
      <c r="L55" s="67"/>
      <c r="M55" s="67"/>
      <c r="N55" s="69"/>
    </row>
    <row r="56" spans="2:14" ht="16.5" thickTop="1" x14ac:dyDescent="0.25">
      <c r="I56" s="94"/>
    </row>
  </sheetData>
  <sortState ref="C25:I26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35:G35"/>
    <mergeCell ref="H23:H24"/>
    <mergeCell ref="I23:I24"/>
    <mergeCell ref="J23:J24"/>
    <mergeCell ref="K23:K24"/>
    <mergeCell ref="F27:G27"/>
    <mergeCell ref="D31:G31"/>
    <mergeCell ref="D32:G32"/>
    <mergeCell ref="D33:G33"/>
    <mergeCell ref="D34:G34"/>
    <mergeCell ref="F49:G49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F48:G48"/>
    <mergeCell ref="F50:G50"/>
    <mergeCell ref="F51:G51"/>
    <mergeCell ref="F52:G52"/>
    <mergeCell ref="F53:G53"/>
    <mergeCell ref="F54:G54"/>
  </mergeCells>
  <conditionalFormatting sqref="M25:M26">
    <cfRule type="cellIs" dxfId="6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64"/>
  <sheetViews>
    <sheetView topLeftCell="A25" zoomScaleNormal="100" workbookViewId="0">
      <selection activeCell="N36" sqref="B2:N36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+M35</f>
        <v>0.56155593412833626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+L35/D35</f>
        <v>197.78000000000003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94</v>
      </c>
      <c r="F8" s="187"/>
      <c r="G8" s="187"/>
      <c r="H8" s="188"/>
      <c r="I8" s="70" t="s">
        <v>54</v>
      </c>
      <c r="J8" s="174" t="s">
        <v>106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28012</v>
      </c>
      <c r="F9" s="187"/>
      <c r="G9" s="187"/>
      <c r="H9" s="188"/>
      <c r="I9" s="70" t="s">
        <v>56</v>
      </c>
      <c r="J9" s="110" t="s">
        <v>107</v>
      </c>
      <c r="K9" s="105" t="s">
        <v>57</v>
      </c>
      <c r="L9" s="181">
        <v>419102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0.59375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194</v>
      </c>
      <c r="F15" s="186"/>
      <c r="H15" s="51"/>
      <c r="I15" s="73"/>
      <c r="J15" s="104" t="s">
        <v>61</v>
      </c>
      <c r="K15" s="106">
        <f>+COUNTIF($G$24:$G$35,"VQ")*2</f>
        <v>8</v>
      </c>
      <c r="L15" s="106">
        <f>+SUMIF($G$25:$G$34,"VQ",$L$25:$L$34)</f>
        <v>683.8</v>
      </c>
      <c r="N15" s="61"/>
    </row>
    <row r="16" spans="2:14" x14ac:dyDescent="0.25">
      <c r="B16" s="57"/>
      <c r="C16" s="173" t="s">
        <v>62</v>
      </c>
      <c r="D16" s="173"/>
      <c r="E16" s="181">
        <f>+D35</f>
        <v>10</v>
      </c>
      <c r="F16" s="181"/>
      <c r="H16" s="51"/>
      <c r="I16" s="73"/>
      <c r="J16" s="104" t="s">
        <v>63</v>
      </c>
      <c r="K16" s="106">
        <f>+COUNTIF($G$24:$G$35,"NT")*2</f>
        <v>0</v>
      </c>
      <c r="L16" s="106">
        <f>+SUMIF($G$25:$G$34,"NT",$L$25:$L$34)</f>
        <v>0</v>
      </c>
      <c r="N16" s="61"/>
    </row>
    <row r="17" spans="2:14" x14ac:dyDescent="0.25">
      <c r="B17" s="57"/>
      <c r="C17" s="173" t="s">
        <v>64</v>
      </c>
      <c r="D17" s="173"/>
      <c r="E17" s="180">
        <f>+I35</f>
        <v>3522</v>
      </c>
      <c r="F17" s="181"/>
      <c r="H17" s="51"/>
      <c r="I17" s="73"/>
      <c r="J17" s="104" t="s">
        <v>65</v>
      </c>
      <c r="K17" s="106">
        <f>+COUNTIF($G$24:$G$35,"NO")*2</f>
        <v>0</v>
      </c>
      <c r="L17" s="106">
        <f>+SUMIF($G$25:$G$34,"NO",$L$25:$L$34)</f>
        <v>0</v>
      </c>
      <c r="N17" s="61"/>
    </row>
    <row r="18" spans="2:14" x14ac:dyDescent="0.25">
      <c r="B18" s="57"/>
      <c r="C18" s="173" t="s">
        <v>66</v>
      </c>
      <c r="D18" s="173"/>
      <c r="E18" s="180">
        <f>+L35</f>
        <v>1977.8000000000002</v>
      </c>
      <c r="F18" s="181"/>
      <c r="H18" s="51"/>
      <c r="I18" s="73"/>
      <c r="J18" s="104" t="s">
        <v>67</v>
      </c>
      <c r="K18" s="106">
        <f>+COUNTIF($G$24:$G$35,"TO")*2</f>
        <v>0</v>
      </c>
      <c r="L18" s="106">
        <f>+SUMIF($G$25:$G$34,"TO",$L$25:$L$34)</f>
        <v>0</v>
      </c>
      <c r="N18" s="61"/>
    </row>
    <row r="19" spans="2:14" x14ac:dyDescent="0.25">
      <c r="B19" s="57"/>
      <c r="C19" s="173" t="s">
        <v>68</v>
      </c>
      <c r="D19" s="173"/>
      <c r="E19" s="182">
        <f>+M35</f>
        <v>0.56155593412833626</v>
      </c>
      <c r="F19" s="181"/>
      <c r="G19" s="73"/>
      <c r="H19" s="114"/>
      <c r="I19" s="73"/>
      <c r="J19" s="104" t="s">
        <v>69</v>
      </c>
      <c r="K19" s="106">
        <f>+COUNTIF($G$24:$G$35,"VA")*2</f>
        <v>0</v>
      </c>
      <c r="L19" s="106">
        <f>+SUMIF($G$25:$G$34,"VA",$L$25:$L$34)</f>
        <v>0</v>
      </c>
      <c r="N19" s="61"/>
    </row>
    <row r="20" spans="2:14" x14ac:dyDescent="0.25">
      <c r="B20" s="57"/>
      <c r="C20" s="173" t="s">
        <v>70</v>
      </c>
      <c r="D20" s="173"/>
      <c r="E20" s="174">
        <f>+L35/D35</f>
        <v>197.78000000000003</v>
      </c>
      <c r="F20" s="174"/>
      <c r="G20" s="73"/>
      <c r="H20" s="114"/>
      <c r="I20" s="73"/>
      <c r="J20" s="104" t="s">
        <v>71</v>
      </c>
      <c r="K20" s="106">
        <f>+COUNTIF($G$24:$G$35,"MEJ")*2</f>
        <v>12</v>
      </c>
      <c r="L20" s="106">
        <f>+SUMIF($G$25:$G$34,"MEJ",$L$25:$L$34)</f>
        <v>1294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1">
        <v>27</v>
      </c>
      <c r="D25" s="81">
        <v>5</v>
      </c>
      <c r="E25" s="229" t="s">
        <v>103</v>
      </c>
      <c r="F25" s="138" t="s">
        <v>181</v>
      </c>
      <c r="G25" s="224" t="s">
        <v>71</v>
      </c>
      <c r="H25" s="83" t="s">
        <v>114</v>
      </c>
      <c r="I25" s="208">
        <v>365</v>
      </c>
      <c r="J25" s="139">
        <v>101.5</v>
      </c>
      <c r="K25" s="215">
        <v>100.5</v>
      </c>
      <c r="L25" s="210">
        <f t="shared" ref="L25:L34" si="0">+J25+K25</f>
        <v>202</v>
      </c>
      <c r="M25" s="84">
        <f t="shared" ref="M25:M35" si="1">+L25/I25</f>
        <v>0.55342465753424652</v>
      </c>
      <c r="N25" s="61"/>
    </row>
    <row r="26" spans="2:14" x14ac:dyDescent="0.25">
      <c r="B26" s="57"/>
      <c r="C26" s="85">
        <v>28</v>
      </c>
      <c r="D26" s="85">
        <v>6</v>
      </c>
      <c r="E26" s="222" t="s">
        <v>103</v>
      </c>
      <c r="F26" s="228" t="s">
        <v>181</v>
      </c>
      <c r="G26" s="225" t="s">
        <v>71</v>
      </c>
      <c r="H26" s="87" t="s">
        <v>115</v>
      </c>
      <c r="I26" s="209">
        <v>334</v>
      </c>
      <c r="J26" s="219">
        <v>94.8</v>
      </c>
      <c r="K26" s="216">
        <v>96</v>
      </c>
      <c r="L26" s="211">
        <f t="shared" si="0"/>
        <v>190.8</v>
      </c>
      <c r="M26" s="88">
        <f t="shared" si="1"/>
        <v>0.57125748502994012</v>
      </c>
      <c r="N26" s="61"/>
    </row>
    <row r="27" spans="2:14" x14ac:dyDescent="0.25">
      <c r="B27" s="57"/>
      <c r="C27" s="86">
        <v>29</v>
      </c>
      <c r="D27" s="86">
        <v>10</v>
      </c>
      <c r="E27" s="223" t="s">
        <v>103</v>
      </c>
      <c r="F27" s="228" t="s">
        <v>181</v>
      </c>
      <c r="G27" s="225" t="s">
        <v>71</v>
      </c>
      <c r="H27" s="87" t="s">
        <v>119</v>
      </c>
      <c r="I27" s="209">
        <v>409</v>
      </c>
      <c r="J27" s="219">
        <v>111.5</v>
      </c>
      <c r="K27" s="216">
        <v>113.3</v>
      </c>
      <c r="L27" s="211">
        <f t="shared" si="0"/>
        <v>224.8</v>
      </c>
      <c r="M27" s="88">
        <f t="shared" si="1"/>
        <v>0.5496332518337409</v>
      </c>
      <c r="N27" s="61"/>
    </row>
    <row r="28" spans="2:14" x14ac:dyDescent="0.25">
      <c r="B28" s="57"/>
      <c r="C28" s="85">
        <v>30</v>
      </c>
      <c r="D28" s="85">
        <v>3</v>
      </c>
      <c r="E28" s="222" t="s">
        <v>108</v>
      </c>
      <c r="F28" s="228" t="s">
        <v>181</v>
      </c>
      <c r="G28" s="225" t="s">
        <v>71</v>
      </c>
      <c r="H28" s="87" t="s">
        <v>112</v>
      </c>
      <c r="I28" s="209">
        <v>361</v>
      </c>
      <c r="J28" s="219">
        <v>101.1</v>
      </c>
      <c r="K28" s="216">
        <v>101.4</v>
      </c>
      <c r="L28" s="211">
        <f t="shared" si="0"/>
        <v>202.5</v>
      </c>
      <c r="M28" s="88">
        <f t="shared" si="1"/>
        <v>0.56094182825484762</v>
      </c>
      <c r="N28" s="61"/>
    </row>
    <row r="29" spans="2:14" x14ac:dyDescent="0.25">
      <c r="B29" s="57"/>
      <c r="C29" s="85">
        <v>31</v>
      </c>
      <c r="D29" s="85">
        <v>2</v>
      </c>
      <c r="E29" s="222" t="s">
        <v>103</v>
      </c>
      <c r="F29" s="230" t="s">
        <v>180</v>
      </c>
      <c r="G29" s="225" t="s">
        <v>61</v>
      </c>
      <c r="H29" s="87" t="s">
        <v>111</v>
      </c>
      <c r="I29" s="209">
        <v>349</v>
      </c>
      <c r="J29" s="219">
        <v>97</v>
      </c>
      <c r="K29" s="216">
        <v>96.5</v>
      </c>
      <c r="L29" s="211">
        <f t="shared" si="0"/>
        <v>193.5</v>
      </c>
      <c r="M29" s="88">
        <f t="shared" si="1"/>
        <v>0.55444126074498568</v>
      </c>
      <c r="N29" s="61"/>
    </row>
    <row r="30" spans="2:14" x14ac:dyDescent="0.25">
      <c r="B30" s="57"/>
      <c r="C30" s="85">
        <v>32</v>
      </c>
      <c r="D30" s="85">
        <v>4</v>
      </c>
      <c r="E30" s="222" t="s">
        <v>108</v>
      </c>
      <c r="F30" s="230" t="s">
        <v>180</v>
      </c>
      <c r="G30" s="225" t="s">
        <v>61</v>
      </c>
      <c r="H30" s="87" t="s">
        <v>113</v>
      </c>
      <c r="I30" s="209">
        <v>296</v>
      </c>
      <c r="J30" s="219">
        <v>83.5</v>
      </c>
      <c r="K30" s="216">
        <v>83.8</v>
      </c>
      <c r="L30" s="211">
        <f t="shared" si="0"/>
        <v>167.3</v>
      </c>
      <c r="M30" s="88">
        <f t="shared" si="1"/>
        <v>0.56520270270270279</v>
      </c>
      <c r="N30" s="61"/>
    </row>
    <row r="31" spans="2:14" x14ac:dyDescent="0.25">
      <c r="B31" s="57"/>
      <c r="C31" s="85">
        <v>33</v>
      </c>
      <c r="D31" s="85">
        <v>8</v>
      </c>
      <c r="E31" s="222" t="s">
        <v>103</v>
      </c>
      <c r="F31" s="230" t="s">
        <v>180</v>
      </c>
      <c r="G31" s="225" t="s">
        <v>61</v>
      </c>
      <c r="H31" s="87" t="s">
        <v>117</v>
      </c>
      <c r="I31" s="209">
        <v>275</v>
      </c>
      <c r="J31" s="219">
        <v>78.099999999999994</v>
      </c>
      <c r="K31" s="216">
        <v>77.900000000000006</v>
      </c>
      <c r="L31" s="211">
        <f t="shared" si="0"/>
        <v>156</v>
      </c>
      <c r="M31" s="88">
        <f t="shared" si="1"/>
        <v>0.56727272727272726</v>
      </c>
      <c r="N31" s="61"/>
    </row>
    <row r="32" spans="2:14" x14ac:dyDescent="0.25">
      <c r="B32" s="57"/>
      <c r="C32" s="85">
        <v>34</v>
      </c>
      <c r="D32" s="85">
        <v>1</v>
      </c>
      <c r="E32" s="222" t="s">
        <v>103</v>
      </c>
      <c r="F32" s="230" t="s">
        <v>181</v>
      </c>
      <c r="G32" s="225" t="s">
        <v>71</v>
      </c>
      <c r="H32" s="87" t="s">
        <v>110</v>
      </c>
      <c r="I32" s="209">
        <v>445</v>
      </c>
      <c r="J32" s="219">
        <v>125.6</v>
      </c>
      <c r="K32" s="216">
        <v>126.9</v>
      </c>
      <c r="L32" s="211">
        <f t="shared" si="0"/>
        <v>252.5</v>
      </c>
      <c r="M32" s="88">
        <f t="shared" si="1"/>
        <v>0.56741573033707871</v>
      </c>
      <c r="N32" s="61"/>
    </row>
    <row r="33" spans="2:14" x14ac:dyDescent="0.25">
      <c r="B33" s="57"/>
      <c r="C33" s="85">
        <v>35</v>
      </c>
      <c r="D33" s="85">
        <v>7</v>
      </c>
      <c r="E33" s="222" t="s">
        <v>109</v>
      </c>
      <c r="F33" s="230" t="s">
        <v>181</v>
      </c>
      <c r="G33" s="225" t="s">
        <v>71</v>
      </c>
      <c r="H33" s="87" t="s">
        <v>116</v>
      </c>
      <c r="I33" s="209">
        <v>386</v>
      </c>
      <c r="J33" s="219">
        <v>110.2</v>
      </c>
      <c r="K33" s="216">
        <v>111.2</v>
      </c>
      <c r="L33" s="211">
        <f t="shared" si="0"/>
        <v>221.4</v>
      </c>
      <c r="M33" s="88">
        <f t="shared" si="1"/>
        <v>0.57357512953367873</v>
      </c>
      <c r="N33" s="61"/>
    </row>
    <row r="34" spans="2:14" x14ac:dyDescent="0.25">
      <c r="B34" s="57"/>
      <c r="C34" s="85">
        <v>36</v>
      </c>
      <c r="D34" s="85">
        <v>9</v>
      </c>
      <c r="E34" s="222" t="s">
        <v>109</v>
      </c>
      <c r="F34" s="140" t="s">
        <v>180</v>
      </c>
      <c r="G34" s="225" t="s">
        <v>61</v>
      </c>
      <c r="H34" s="87" t="s">
        <v>118</v>
      </c>
      <c r="I34" s="209">
        <v>302</v>
      </c>
      <c r="J34" s="142">
        <v>83.8</v>
      </c>
      <c r="K34" s="218">
        <v>83.2</v>
      </c>
      <c r="L34" s="211">
        <f t="shared" si="0"/>
        <v>167</v>
      </c>
      <c r="M34" s="88">
        <f t="shared" si="1"/>
        <v>0.55298013245033117</v>
      </c>
      <c r="N34" s="61"/>
    </row>
    <row r="35" spans="2:14" x14ac:dyDescent="0.25">
      <c r="B35" s="57"/>
      <c r="C35" s="107"/>
      <c r="D35" s="107">
        <f>+COUNT($D$24:$D$34)</f>
        <v>10</v>
      </c>
      <c r="E35" s="107"/>
      <c r="F35" s="227"/>
      <c r="G35" s="162"/>
      <c r="H35" s="91"/>
      <c r="I35" s="92">
        <f>SUM($I$24:$I$34)</f>
        <v>3522</v>
      </c>
      <c r="J35" s="90">
        <f>SUM($J$24:$J$34)</f>
        <v>987.1</v>
      </c>
      <c r="K35" s="214">
        <f>SUM($K$24:$K$34)</f>
        <v>990.7</v>
      </c>
      <c r="L35" s="92">
        <f>SUM($L$24:$L$34)</f>
        <v>1977.8000000000002</v>
      </c>
      <c r="M35" s="93">
        <f t="shared" si="1"/>
        <v>0.56155593412833626</v>
      </c>
      <c r="N35" s="61"/>
    </row>
    <row r="36" spans="2:14" ht="16.5" thickBot="1" x14ac:dyDescent="0.3">
      <c r="B36" s="66"/>
      <c r="C36" s="67"/>
      <c r="D36" s="67"/>
      <c r="E36" s="67"/>
      <c r="F36" s="67"/>
      <c r="G36" s="67"/>
      <c r="H36" s="68"/>
      <c r="I36" s="67"/>
      <c r="J36" s="68"/>
      <c r="K36" s="67"/>
      <c r="L36" s="67"/>
      <c r="M36" s="67"/>
      <c r="N36" s="69"/>
    </row>
    <row r="37" spans="2:14" ht="17.25" thickTop="1" thickBot="1" x14ac:dyDescent="0.3">
      <c r="B37" s="54"/>
      <c r="C37" s="54"/>
      <c r="D37" s="54"/>
      <c r="E37" s="54"/>
      <c r="F37" s="54"/>
      <c r="G37" s="54"/>
      <c r="H37" s="55"/>
      <c r="I37" s="54"/>
      <c r="J37" s="55"/>
      <c r="K37" s="54"/>
      <c r="L37" s="54"/>
      <c r="M37" s="54"/>
      <c r="N37" s="54"/>
    </row>
    <row r="38" spans="2:14" ht="16.5" thickTop="1" x14ac:dyDescent="0.25">
      <c r="B38" s="53"/>
      <c r="C38" s="54"/>
      <c r="D38" s="54"/>
      <c r="E38" s="54"/>
      <c r="F38" s="54"/>
      <c r="G38" s="54"/>
      <c r="H38" s="55"/>
      <c r="I38" s="54"/>
      <c r="J38" s="55"/>
      <c r="K38" s="54"/>
      <c r="L38" s="54"/>
      <c r="M38" s="54"/>
      <c r="N38" s="56"/>
    </row>
    <row r="39" spans="2:14" ht="32.25" customHeight="1" x14ac:dyDescent="0.25">
      <c r="B39" s="57"/>
      <c r="D39" s="163" t="s">
        <v>83</v>
      </c>
      <c r="E39" s="164"/>
      <c r="F39" s="164"/>
      <c r="G39" s="164"/>
      <c r="H39" s="115" t="s">
        <v>84</v>
      </c>
      <c r="I39" s="116" t="s">
        <v>59</v>
      </c>
      <c r="J39" s="117" t="s">
        <v>85</v>
      </c>
      <c r="K39" s="118" t="s">
        <v>86</v>
      </c>
      <c r="N39" s="61"/>
    </row>
    <row r="40" spans="2:14" x14ac:dyDescent="0.25">
      <c r="B40" s="57"/>
      <c r="D40" s="155" t="s">
        <v>20</v>
      </c>
      <c r="E40" s="156"/>
      <c r="F40" s="156"/>
      <c r="G40" s="156"/>
      <c r="H40" s="119"/>
      <c r="J40" s="119"/>
      <c r="K40" s="120"/>
      <c r="N40" s="61"/>
    </row>
    <row r="41" spans="2:14" x14ac:dyDescent="0.25">
      <c r="B41" s="57"/>
      <c r="D41" s="155" t="s">
        <v>7</v>
      </c>
      <c r="E41" s="156"/>
      <c r="F41" s="156"/>
      <c r="G41" s="156"/>
      <c r="H41" s="119"/>
      <c r="J41" s="119"/>
      <c r="K41" s="120"/>
      <c r="N41" s="61"/>
    </row>
    <row r="42" spans="2:14" x14ac:dyDescent="0.25">
      <c r="B42" s="57"/>
      <c r="D42" s="155" t="s">
        <v>6</v>
      </c>
      <c r="E42" s="156"/>
      <c r="F42" s="156"/>
      <c r="G42" s="156"/>
      <c r="H42" s="119"/>
      <c r="J42" s="119"/>
      <c r="K42" s="120"/>
      <c r="N42" s="61"/>
    </row>
    <row r="43" spans="2:14" x14ac:dyDescent="0.25">
      <c r="B43" s="57"/>
      <c r="D43" s="155" t="s">
        <v>10</v>
      </c>
      <c r="E43" s="156"/>
      <c r="F43" s="156"/>
      <c r="G43" s="156"/>
      <c r="H43" s="119"/>
      <c r="J43" s="119"/>
      <c r="K43" s="120"/>
      <c r="N43" s="61"/>
    </row>
    <row r="44" spans="2:14" x14ac:dyDescent="0.25">
      <c r="B44" s="57"/>
      <c r="D44" s="155" t="s">
        <v>21</v>
      </c>
      <c r="E44" s="156"/>
      <c r="F44" s="156"/>
      <c r="G44" s="156"/>
      <c r="H44" s="119"/>
      <c r="J44" s="119"/>
      <c r="K44" s="120"/>
      <c r="N44" s="61"/>
    </row>
    <row r="45" spans="2:14" x14ac:dyDescent="0.25">
      <c r="B45" s="57"/>
      <c r="D45" s="155" t="s">
        <v>5</v>
      </c>
      <c r="E45" s="156"/>
      <c r="F45" s="156"/>
      <c r="G45" s="156"/>
      <c r="H45" s="119"/>
      <c r="J45" s="119"/>
      <c r="K45" s="120"/>
      <c r="N45" s="61"/>
    </row>
    <row r="46" spans="2:14" x14ac:dyDescent="0.25">
      <c r="B46" s="57"/>
      <c r="D46" s="155" t="s">
        <v>22</v>
      </c>
      <c r="E46" s="156"/>
      <c r="F46" s="156"/>
      <c r="G46" s="156"/>
      <c r="H46" s="119"/>
      <c r="J46" s="119"/>
      <c r="K46" s="120"/>
      <c r="N46" s="61"/>
    </row>
    <row r="47" spans="2:14" x14ac:dyDescent="0.25">
      <c r="B47" s="57"/>
      <c r="D47" s="155" t="s">
        <v>8</v>
      </c>
      <c r="E47" s="156"/>
      <c r="F47" s="156"/>
      <c r="G47" s="156"/>
      <c r="H47" s="119"/>
      <c r="J47" s="119"/>
      <c r="K47" s="120"/>
      <c r="N47" s="61"/>
    </row>
    <row r="48" spans="2:14" x14ac:dyDescent="0.25">
      <c r="B48" s="57"/>
      <c r="D48" s="155" t="s">
        <v>23</v>
      </c>
      <c r="E48" s="156"/>
      <c r="F48" s="156"/>
      <c r="G48" s="156"/>
      <c r="H48" s="119"/>
      <c r="J48" s="119"/>
      <c r="K48" s="120"/>
      <c r="N48" s="61"/>
    </row>
    <row r="49" spans="2:14" x14ac:dyDescent="0.25">
      <c r="B49" s="57"/>
      <c r="D49" s="155" t="s">
        <v>36</v>
      </c>
      <c r="E49" s="156"/>
      <c r="F49" s="156"/>
      <c r="G49" s="156"/>
      <c r="H49" s="119"/>
      <c r="J49" s="119"/>
      <c r="K49" s="120"/>
      <c r="N49" s="61"/>
    </row>
    <row r="50" spans="2:14" x14ac:dyDescent="0.25">
      <c r="B50" s="57"/>
      <c r="D50" s="155" t="s">
        <v>9</v>
      </c>
      <c r="E50" s="156"/>
      <c r="F50" s="156"/>
      <c r="G50" s="156"/>
      <c r="H50" s="119"/>
      <c r="J50" s="119"/>
      <c r="K50" s="120"/>
      <c r="N50" s="61"/>
    </row>
    <row r="51" spans="2:14" x14ac:dyDescent="0.25">
      <c r="B51" s="57"/>
      <c r="D51" s="155" t="s">
        <v>24</v>
      </c>
      <c r="E51" s="156"/>
      <c r="F51" s="156"/>
      <c r="G51" s="156"/>
      <c r="H51" s="119"/>
      <c r="J51" s="119"/>
      <c r="K51" s="120"/>
      <c r="N51" s="61"/>
    </row>
    <row r="52" spans="2:14" x14ac:dyDescent="0.25">
      <c r="B52" s="57"/>
      <c r="D52" s="155" t="s">
        <v>37</v>
      </c>
      <c r="E52" s="156"/>
      <c r="F52" s="156"/>
      <c r="G52" s="156"/>
      <c r="H52" s="119"/>
      <c r="J52" s="119"/>
      <c r="K52" s="120"/>
      <c r="N52" s="61"/>
    </row>
    <row r="53" spans="2:14" x14ac:dyDescent="0.25">
      <c r="B53" s="57"/>
      <c r="D53" s="157" t="s">
        <v>87</v>
      </c>
      <c r="E53" s="158"/>
      <c r="F53" s="158"/>
      <c r="G53" s="159"/>
      <c r="H53" s="121"/>
      <c r="I53" s="122">
        <f>SUM(I40:I52)</f>
        <v>0</v>
      </c>
      <c r="J53" s="123">
        <f>SUM(J40:J52)</f>
        <v>0</v>
      </c>
      <c r="K53" s="124">
        <f>SUM(K40:K52)</f>
        <v>0</v>
      </c>
      <c r="N53" s="61"/>
    </row>
    <row r="54" spans="2:14" ht="16.5" thickBot="1" x14ac:dyDescent="0.3">
      <c r="B54" s="66"/>
      <c r="C54" s="67"/>
      <c r="D54" s="67"/>
      <c r="E54" s="67"/>
      <c r="F54" s="67"/>
      <c r="G54" s="67"/>
      <c r="H54" s="68"/>
      <c r="I54" s="67"/>
      <c r="J54" s="68"/>
      <c r="K54" s="67"/>
      <c r="L54" s="67"/>
      <c r="M54" s="67"/>
      <c r="N54" s="69"/>
    </row>
    <row r="55" spans="2:14" ht="16.5" thickTop="1" x14ac:dyDescent="0.25">
      <c r="B55" s="57"/>
      <c r="G55" s="125"/>
      <c r="H55" s="126"/>
      <c r="I55" s="125"/>
      <c r="J55" s="126"/>
      <c r="N55" s="61"/>
    </row>
    <row r="56" spans="2:14" ht="15.75" customHeight="1" x14ac:dyDescent="0.25">
      <c r="B56" s="57"/>
      <c r="F56" s="160" t="s">
        <v>88</v>
      </c>
      <c r="G56" s="160"/>
      <c r="H56" s="127" t="s">
        <v>89</v>
      </c>
      <c r="I56" s="115" t="s">
        <v>77</v>
      </c>
      <c r="N56" s="61"/>
    </row>
    <row r="57" spans="2:14" x14ac:dyDescent="0.25">
      <c r="B57" s="57"/>
      <c r="F57" s="161" t="s">
        <v>35</v>
      </c>
      <c r="G57" s="161"/>
      <c r="H57" s="128"/>
      <c r="I57" s="129"/>
      <c r="N57" s="61"/>
    </row>
    <row r="58" spans="2:14" x14ac:dyDescent="0.25">
      <c r="B58" s="57"/>
      <c r="F58" s="152" t="s">
        <v>90</v>
      </c>
      <c r="G58" s="152"/>
      <c r="H58" s="130">
        <f>+D35</f>
        <v>10</v>
      </c>
      <c r="I58" s="131"/>
      <c r="N58" s="61"/>
    </row>
    <row r="59" spans="2:14" x14ac:dyDescent="0.25">
      <c r="B59" s="57"/>
      <c r="F59" s="152" t="s">
        <v>91</v>
      </c>
      <c r="G59" s="152"/>
      <c r="H59" s="132"/>
      <c r="I59" s="131"/>
      <c r="N59" s="61"/>
    </row>
    <row r="60" spans="2:14" x14ac:dyDescent="0.25">
      <c r="B60" s="57"/>
      <c r="F60" s="152" t="s">
        <v>92</v>
      </c>
      <c r="G60" s="152"/>
      <c r="H60" s="132"/>
      <c r="I60" s="131"/>
      <c r="N60" s="61"/>
    </row>
    <row r="61" spans="2:14" x14ac:dyDescent="0.25">
      <c r="B61" s="57"/>
      <c r="F61" s="153" t="s">
        <v>93</v>
      </c>
      <c r="G61" s="153"/>
      <c r="H61" s="133"/>
      <c r="I61" s="134"/>
      <c r="N61" s="61"/>
    </row>
    <row r="62" spans="2:14" x14ac:dyDescent="0.25">
      <c r="B62" s="57"/>
      <c r="F62" s="154" t="s">
        <v>87</v>
      </c>
      <c r="G62" s="154"/>
      <c r="H62" s="136"/>
      <c r="I62" s="121">
        <f>SUM(I57:I61)</f>
        <v>0</v>
      </c>
      <c r="N62" s="61"/>
    </row>
    <row r="63" spans="2:14" ht="16.5" thickBot="1" x14ac:dyDescent="0.3">
      <c r="B63" s="66"/>
      <c r="C63" s="67"/>
      <c r="D63" s="67"/>
      <c r="E63" s="67"/>
      <c r="F63" s="67"/>
      <c r="G63" s="67"/>
      <c r="H63" s="68"/>
      <c r="I63" s="67"/>
      <c r="J63" s="68"/>
      <c r="K63" s="67"/>
      <c r="L63" s="67"/>
      <c r="M63" s="67"/>
      <c r="N63" s="69"/>
    </row>
    <row r="64" spans="2:14" ht="16.5" thickTop="1" x14ac:dyDescent="0.25">
      <c r="I64" s="94"/>
    </row>
  </sheetData>
  <sortState ref="C25:I34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43:G43"/>
    <mergeCell ref="H23:H24"/>
    <mergeCell ref="I23:I24"/>
    <mergeCell ref="J23:J24"/>
    <mergeCell ref="K23:K24"/>
    <mergeCell ref="F35:G35"/>
    <mergeCell ref="D39:G39"/>
    <mergeCell ref="D40:G40"/>
    <mergeCell ref="D41:G41"/>
    <mergeCell ref="D42:G42"/>
    <mergeCell ref="F57:G57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F56:G56"/>
    <mergeCell ref="F58:G58"/>
    <mergeCell ref="F59:G59"/>
    <mergeCell ref="F60:G60"/>
    <mergeCell ref="F61:G61"/>
    <mergeCell ref="F62:G62"/>
  </mergeCells>
  <conditionalFormatting sqref="M25:M34">
    <cfRule type="cellIs" dxfId="5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70"/>
  <sheetViews>
    <sheetView topLeftCell="A31" zoomScaleNormal="100" workbookViewId="0">
      <selection activeCell="N42" sqref="B2:N42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+M41</f>
        <v>0.57899557801642454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+L41/D41</f>
        <v>229.13750000000002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95</v>
      </c>
      <c r="F8" s="187"/>
      <c r="G8" s="187"/>
      <c r="H8" s="188"/>
      <c r="I8" s="70" t="s">
        <v>54</v>
      </c>
      <c r="J8" s="174" t="s">
        <v>120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38059</v>
      </c>
      <c r="F9" s="187"/>
      <c r="G9" s="187"/>
      <c r="H9" s="188"/>
      <c r="I9" s="70" t="s">
        <v>56</v>
      </c>
      <c r="J9" s="110" t="s">
        <v>121</v>
      </c>
      <c r="K9" s="105" t="s">
        <v>57</v>
      </c>
      <c r="L9" s="181" t="s">
        <v>122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0.60416666666666663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195</v>
      </c>
      <c r="F15" s="186"/>
      <c r="H15" s="51"/>
      <c r="I15" s="73"/>
      <c r="J15" s="104" t="s">
        <v>61</v>
      </c>
      <c r="K15" s="106">
        <f>+COUNTIF($G$24:$G$41,"VQ")*2</f>
        <v>20</v>
      </c>
      <c r="L15" s="106">
        <f>+SUMIF($G$25:$G$40,"VQ",$L$25:$L$40)</f>
        <v>2190.8000000000002</v>
      </c>
      <c r="N15" s="61"/>
    </row>
    <row r="16" spans="2:14" x14ac:dyDescent="0.25">
      <c r="B16" s="57"/>
      <c r="C16" s="173" t="s">
        <v>62</v>
      </c>
      <c r="D16" s="173"/>
      <c r="E16" s="181">
        <f>+D41</f>
        <v>16</v>
      </c>
      <c r="F16" s="181"/>
      <c r="H16" s="51"/>
      <c r="I16" s="73"/>
      <c r="J16" s="104" t="s">
        <v>63</v>
      </c>
      <c r="K16" s="106">
        <f>+COUNTIF($G$24:$G$41,"NT")*2</f>
        <v>12</v>
      </c>
      <c r="L16" s="106">
        <f>+SUMIF($G$25:$G$40,"NT",$L$25:$L$40)</f>
        <v>1475.4</v>
      </c>
      <c r="N16" s="61"/>
    </row>
    <row r="17" spans="2:14" x14ac:dyDescent="0.25">
      <c r="B17" s="57"/>
      <c r="C17" s="173" t="s">
        <v>64</v>
      </c>
      <c r="D17" s="173"/>
      <c r="E17" s="180">
        <f>+I41</f>
        <v>6332</v>
      </c>
      <c r="F17" s="181"/>
      <c r="H17" s="51"/>
      <c r="I17" s="73"/>
      <c r="J17" s="104" t="s">
        <v>65</v>
      </c>
      <c r="K17" s="106">
        <f>+COUNTIF($G$24:$G$41,"NO")*2</f>
        <v>0</v>
      </c>
      <c r="L17" s="106">
        <f>+SUMIF($G$25:$G$40,"NO",$L$25:$L$40)</f>
        <v>0</v>
      </c>
      <c r="N17" s="61"/>
    </row>
    <row r="18" spans="2:14" x14ac:dyDescent="0.25">
      <c r="B18" s="57"/>
      <c r="C18" s="173" t="s">
        <v>66</v>
      </c>
      <c r="D18" s="173"/>
      <c r="E18" s="180">
        <f>+L41</f>
        <v>3666.2000000000003</v>
      </c>
      <c r="F18" s="181"/>
      <c r="H18" s="51"/>
      <c r="I18" s="73"/>
      <c r="J18" s="104" t="s">
        <v>67</v>
      </c>
      <c r="K18" s="106">
        <f>+COUNTIF($G$24:$G$41,"TO")*2</f>
        <v>0</v>
      </c>
      <c r="L18" s="106">
        <f>+SUMIF($G$25:$G$40,"TO",$L$25:$L$40)</f>
        <v>0</v>
      </c>
      <c r="N18" s="61"/>
    </row>
    <row r="19" spans="2:14" x14ac:dyDescent="0.25">
      <c r="B19" s="57"/>
      <c r="C19" s="173" t="s">
        <v>68</v>
      </c>
      <c r="D19" s="173"/>
      <c r="E19" s="182">
        <f>+M41</f>
        <v>0.57899557801642454</v>
      </c>
      <c r="F19" s="181"/>
      <c r="G19" s="73"/>
      <c r="H19" s="114"/>
      <c r="I19" s="73"/>
      <c r="J19" s="104" t="s">
        <v>69</v>
      </c>
      <c r="K19" s="106">
        <f>+COUNTIF($G$24:$G$41,"VA")*2</f>
        <v>0</v>
      </c>
      <c r="L19" s="106">
        <f>+SUMIF($G$25:$G$40,"VA",$L$25:$L$40)</f>
        <v>0</v>
      </c>
      <c r="N19" s="61"/>
    </row>
    <row r="20" spans="2:14" x14ac:dyDescent="0.25">
      <c r="B20" s="57"/>
      <c r="C20" s="173" t="s">
        <v>70</v>
      </c>
      <c r="D20" s="173"/>
      <c r="E20" s="174">
        <f>+L41/D41</f>
        <v>229.13750000000002</v>
      </c>
      <c r="F20" s="174"/>
      <c r="G20" s="73"/>
      <c r="H20" s="114"/>
      <c r="I20" s="73"/>
      <c r="J20" s="104" t="s">
        <v>71</v>
      </c>
      <c r="K20" s="106">
        <f>+COUNTIF($G$24:$G$41,"MEJ")*2</f>
        <v>0</v>
      </c>
      <c r="L20" s="106">
        <f>+SUMIF($G$25:$G$40,"MEJ",$L$25:$L$40)</f>
        <v>0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2">
        <v>1</v>
      </c>
      <c r="D25" s="82">
        <v>14</v>
      </c>
      <c r="E25" s="221" t="s">
        <v>109</v>
      </c>
      <c r="F25" s="138" t="s">
        <v>180</v>
      </c>
      <c r="G25" s="224" t="s">
        <v>61</v>
      </c>
      <c r="H25" s="83" t="s">
        <v>135</v>
      </c>
      <c r="I25" s="208">
        <v>382</v>
      </c>
      <c r="J25" s="139">
        <v>107.3</v>
      </c>
      <c r="K25" s="215">
        <v>107.7</v>
      </c>
      <c r="L25" s="210">
        <f t="shared" ref="L25:L40" si="0">+J25+K25</f>
        <v>215</v>
      </c>
      <c r="M25" s="84">
        <f t="shared" ref="M25:M41" si="1">+L25/I25</f>
        <v>0.56282722513089001</v>
      </c>
      <c r="N25" s="61"/>
    </row>
    <row r="26" spans="2:14" x14ac:dyDescent="0.25">
      <c r="B26" s="57"/>
      <c r="C26" s="85">
        <v>2</v>
      </c>
      <c r="D26" s="85">
        <v>4</v>
      </c>
      <c r="E26" s="222" t="s">
        <v>109</v>
      </c>
      <c r="F26" s="228" t="s">
        <v>182</v>
      </c>
      <c r="G26" s="225" t="s">
        <v>63</v>
      </c>
      <c r="H26" s="87" t="s">
        <v>125</v>
      </c>
      <c r="I26" s="209">
        <v>452</v>
      </c>
      <c r="J26" s="219">
        <v>133.30000000000001</v>
      </c>
      <c r="K26" s="216">
        <v>132.5</v>
      </c>
      <c r="L26" s="211">
        <f t="shared" si="0"/>
        <v>265.8</v>
      </c>
      <c r="M26" s="88">
        <f t="shared" si="1"/>
        <v>0.58805309734513278</v>
      </c>
      <c r="N26" s="61"/>
    </row>
    <row r="27" spans="2:14" x14ac:dyDescent="0.25">
      <c r="B27" s="57"/>
      <c r="C27" s="85">
        <v>3</v>
      </c>
      <c r="D27" s="85">
        <v>6</v>
      </c>
      <c r="E27" s="222" t="s">
        <v>109</v>
      </c>
      <c r="F27" s="228" t="s">
        <v>180</v>
      </c>
      <c r="G27" s="225" t="s">
        <v>63</v>
      </c>
      <c r="H27" s="87" t="s">
        <v>127</v>
      </c>
      <c r="I27" s="209">
        <v>363</v>
      </c>
      <c r="J27" s="219">
        <v>106.4</v>
      </c>
      <c r="K27" s="216">
        <v>106.5</v>
      </c>
      <c r="L27" s="211">
        <f t="shared" si="0"/>
        <v>212.9</v>
      </c>
      <c r="M27" s="88">
        <f t="shared" si="1"/>
        <v>0.58650137741046837</v>
      </c>
      <c r="N27" s="61"/>
    </row>
    <row r="28" spans="2:14" x14ac:dyDescent="0.25">
      <c r="B28" s="57"/>
      <c r="C28" s="85">
        <v>4</v>
      </c>
      <c r="D28" s="85">
        <v>5</v>
      </c>
      <c r="E28" s="222" t="s">
        <v>108</v>
      </c>
      <c r="F28" s="228" t="s">
        <v>180</v>
      </c>
      <c r="G28" s="225" t="s">
        <v>61</v>
      </c>
      <c r="H28" s="87" t="s">
        <v>126</v>
      </c>
      <c r="I28" s="209">
        <v>400</v>
      </c>
      <c r="J28" s="219">
        <v>113.5</v>
      </c>
      <c r="K28" s="216">
        <v>114.2</v>
      </c>
      <c r="L28" s="211">
        <f t="shared" si="0"/>
        <v>227.7</v>
      </c>
      <c r="M28" s="88">
        <f t="shared" si="1"/>
        <v>0.56924999999999992</v>
      </c>
      <c r="N28" s="61"/>
    </row>
    <row r="29" spans="2:14" x14ac:dyDescent="0.25">
      <c r="B29" s="57"/>
      <c r="C29" s="85">
        <v>5</v>
      </c>
      <c r="D29" s="85">
        <v>2</v>
      </c>
      <c r="E29" s="222" t="s">
        <v>109</v>
      </c>
      <c r="F29" s="228" t="s">
        <v>180</v>
      </c>
      <c r="G29" s="225" t="s">
        <v>61</v>
      </c>
      <c r="H29" s="87" t="s">
        <v>115</v>
      </c>
      <c r="I29" s="209">
        <v>319</v>
      </c>
      <c r="J29" s="219">
        <v>92.3</v>
      </c>
      <c r="K29" s="216">
        <v>93.8</v>
      </c>
      <c r="L29" s="211">
        <f t="shared" si="0"/>
        <v>186.1</v>
      </c>
      <c r="M29" s="88">
        <f t="shared" si="1"/>
        <v>0.58338557993730411</v>
      </c>
      <c r="N29" s="61"/>
    </row>
    <row r="30" spans="2:14" x14ac:dyDescent="0.25">
      <c r="B30" s="57"/>
      <c r="C30" s="85">
        <v>6</v>
      </c>
      <c r="D30" s="85">
        <v>3</v>
      </c>
      <c r="E30" s="222" t="s">
        <v>108</v>
      </c>
      <c r="F30" s="228" t="s">
        <v>182</v>
      </c>
      <c r="G30" s="225" t="s">
        <v>63</v>
      </c>
      <c r="H30" s="87" t="s">
        <v>124</v>
      </c>
      <c r="I30" s="209">
        <v>407</v>
      </c>
      <c r="J30" s="219">
        <v>115.9</v>
      </c>
      <c r="K30" s="216">
        <v>118</v>
      </c>
      <c r="L30" s="211">
        <f t="shared" si="0"/>
        <v>233.9</v>
      </c>
      <c r="M30" s="88">
        <f t="shared" si="1"/>
        <v>0.57469287469287467</v>
      </c>
      <c r="N30" s="61"/>
    </row>
    <row r="31" spans="2:14" x14ac:dyDescent="0.25">
      <c r="B31" s="57"/>
      <c r="C31" s="85">
        <v>7</v>
      </c>
      <c r="D31" s="85">
        <v>9</v>
      </c>
      <c r="E31" s="222" t="s">
        <v>109</v>
      </c>
      <c r="F31" s="228" t="s">
        <v>180</v>
      </c>
      <c r="G31" s="225" t="s">
        <v>61</v>
      </c>
      <c r="H31" s="87" t="s">
        <v>130</v>
      </c>
      <c r="I31" s="209">
        <v>362</v>
      </c>
      <c r="J31" s="219">
        <v>106.6</v>
      </c>
      <c r="K31" s="216">
        <v>106.8</v>
      </c>
      <c r="L31" s="211">
        <f t="shared" si="0"/>
        <v>213.39999999999998</v>
      </c>
      <c r="M31" s="88">
        <f t="shared" si="1"/>
        <v>0.58950276243093913</v>
      </c>
      <c r="N31" s="61"/>
    </row>
    <row r="32" spans="2:14" x14ac:dyDescent="0.25">
      <c r="B32" s="57"/>
      <c r="C32" s="85">
        <v>8</v>
      </c>
      <c r="D32" s="85">
        <v>1</v>
      </c>
      <c r="E32" s="222" t="s">
        <v>109</v>
      </c>
      <c r="F32" s="228" t="s">
        <v>180</v>
      </c>
      <c r="G32" s="225" t="s">
        <v>61</v>
      </c>
      <c r="H32" s="87" t="s">
        <v>123</v>
      </c>
      <c r="I32" s="209">
        <v>362</v>
      </c>
      <c r="J32" s="219">
        <v>109.7</v>
      </c>
      <c r="K32" s="216">
        <v>109.6</v>
      </c>
      <c r="L32" s="211">
        <f t="shared" si="0"/>
        <v>219.3</v>
      </c>
      <c r="M32" s="88">
        <f t="shared" si="1"/>
        <v>0.60580110497237571</v>
      </c>
      <c r="N32" s="61"/>
    </row>
    <row r="33" spans="2:14" x14ac:dyDescent="0.25">
      <c r="B33" s="57"/>
      <c r="C33" s="85">
        <v>9</v>
      </c>
      <c r="D33" s="85">
        <v>15</v>
      </c>
      <c r="E33" s="222" t="s">
        <v>109</v>
      </c>
      <c r="F33" s="228" t="s">
        <v>180</v>
      </c>
      <c r="G33" s="225" t="s">
        <v>61</v>
      </c>
      <c r="H33" s="87" t="s">
        <v>136</v>
      </c>
      <c r="I33" s="209">
        <v>362</v>
      </c>
      <c r="J33" s="219">
        <v>99.4</v>
      </c>
      <c r="K33" s="216">
        <v>99.1</v>
      </c>
      <c r="L33" s="211">
        <f t="shared" si="0"/>
        <v>198.5</v>
      </c>
      <c r="M33" s="88">
        <f t="shared" si="1"/>
        <v>0.5483425414364641</v>
      </c>
      <c r="N33" s="61"/>
    </row>
    <row r="34" spans="2:14" x14ac:dyDescent="0.25">
      <c r="B34" s="57"/>
      <c r="C34" s="85">
        <v>10</v>
      </c>
      <c r="D34" s="85">
        <v>13</v>
      </c>
      <c r="E34" s="222" t="s">
        <v>109</v>
      </c>
      <c r="F34" s="228" t="s">
        <v>180</v>
      </c>
      <c r="G34" s="225" t="s">
        <v>61</v>
      </c>
      <c r="H34" s="87" t="s">
        <v>134</v>
      </c>
      <c r="I34" s="209">
        <v>400</v>
      </c>
      <c r="J34" s="219">
        <v>113.7</v>
      </c>
      <c r="K34" s="216">
        <v>116.7</v>
      </c>
      <c r="L34" s="211">
        <f t="shared" si="0"/>
        <v>230.4</v>
      </c>
      <c r="M34" s="88">
        <f t="shared" si="1"/>
        <v>0.57600000000000007</v>
      </c>
      <c r="N34" s="61"/>
    </row>
    <row r="35" spans="2:14" x14ac:dyDescent="0.25">
      <c r="B35" s="57"/>
      <c r="C35" s="86">
        <v>11</v>
      </c>
      <c r="D35" s="86">
        <v>10</v>
      </c>
      <c r="E35" s="223" t="s">
        <v>108</v>
      </c>
      <c r="F35" s="228" t="s">
        <v>182</v>
      </c>
      <c r="G35" s="225" t="s">
        <v>63</v>
      </c>
      <c r="H35" s="87" t="s">
        <v>131</v>
      </c>
      <c r="I35" s="209">
        <v>416</v>
      </c>
      <c r="J35" s="220">
        <v>123</v>
      </c>
      <c r="K35" s="217">
        <v>125.1</v>
      </c>
      <c r="L35" s="211">
        <f t="shared" si="0"/>
        <v>248.1</v>
      </c>
      <c r="M35" s="88">
        <f t="shared" si="1"/>
        <v>0.5963942307692307</v>
      </c>
      <c r="N35" s="61"/>
    </row>
    <row r="36" spans="2:14" x14ac:dyDescent="0.25">
      <c r="B36" s="57"/>
      <c r="C36" s="85">
        <v>12</v>
      </c>
      <c r="D36" s="85">
        <v>7</v>
      </c>
      <c r="E36" s="222" t="s">
        <v>109</v>
      </c>
      <c r="F36" s="228" t="s">
        <v>182</v>
      </c>
      <c r="G36" s="225" t="s">
        <v>63</v>
      </c>
      <c r="H36" s="87" t="s">
        <v>128</v>
      </c>
      <c r="I36" s="209">
        <v>446</v>
      </c>
      <c r="J36" s="220">
        <v>134.80000000000001</v>
      </c>
      <c r="K36" s="217">
        <v>135</v>
      </c>
      <c r="L36" s="211">
        <f t="shared" si="0"/>
        <v>269.8</v>
      </c>
      <c r="M36" s="88">
        <f t="shared" si="1"/>
        <v>0.60493273542600901</v>
      </c>
      <c r="N36" s="61"/>
    </row>
    <row r="37" spans="2:14" x14ac:dyDescent="0.25">
      <c r="B37" s="57"/>
      <c r="C37" s="85">
        <v>13</v>
      </c>
      <c r="D37" s="85">
        <v>12</v>
      </c>
      <c r="E37" s="222" t="s">
        <v>109</v>
      </c>
      <c r="F37" s="228" t="s">
        <v>180</v>
      </c>
      <c r="G37" s="225" t="s">
        <v>61</v>
      </c>
      <c r="H37" s="87" t="s">
        <v>133</v>
      </c>
      <c r="I37" s="209">
        <v>392</v>
      </c>
      <c r="J37" s="219">
        <v>104.9</v>
      </c>
      <c r="K37" s="216">
        <v>106</v>
      </c>
      <c r="L37" s="211">
        <f t="shared" si="0"/>
        <v>210.9</v>
      </c>
      <c r="M37" s="88">
        <f t="shared" si="1"/>
        <v>0.53801020408163269</v>
      </c>
      <c r="N37" s="61"/>
    </row>
    <row r="38" spans="2:14" x14ac:dyDescent="0.25">
      <c r="B38" s="57"/>
      <c r="C38" s="86">
        <v>14</v>
      </c>
      <c r="D38" s="86">
        <v>11</v>
      </c>
      <c r="E38" s="223" t="s">
        <v>103</v>
      </c>
      <c r="F38" s="228" t="s">
        <v>182</v>
      </c>
      <c r="G38" s="225" t="s">
        <v>61</v>
      </c>
      <c r="H38" s="87" t="s">
        <v>132</v>
      </c>
      <c r="I38" s="209">
        <v>506</v>
      </c>
      <c r="J38" s="219">
        <v>144</v>
      </c>
      <c r="K38" s="216">
        <v>147.9</v>
      </c>
      <c r="L38" s="211">
        <f t="shared" si="0"/>
        <v>291.89999999999998</v>
      </c>
      <c r="M38" s="88">
        <f t="shared" si="1"/>
        <v>0.57687747035573123</v>
      </c>
      <c r="N38" s="61"/>
    </row>
    <row r="39" spans="2:14" x14ac:dyDescent="0.25">
      <c r="B39" s="57"/>
      <c r="C39" s="85">
        <v>15</v>
      </c>
      <c r="D39" s="85">
        <v>8</v>
      </c>
      <c r="E39" s="222" t="s">
        <v>108</v>
      </c>
      <c r="F39" s="228" t="s">
        <v>182</v>
      </c>
      <c r="G39" s="225" t="s">
        <v>63</v>
      </c>
      <c r="H39" s="87" t="s">
        <v>129</v>
      </c>
      <c r="I39" s="209">
        <v>413</v>
      </c>
      <c r="J39" s="219">
        <v>122.6</v>
      </c>
      <c r="K39" s="216">
        <v>122.3</v>
      </c>
      <c r="L39" s="211">
        <f t="shared" si="0"/>
        <v>244.89999999999998</v>
      </c>
      <c r="M39" s="89">
        <f t="shared" si="1"/>
        <v>0.59297820823244551</v>
      </c>
      <c r="N39" s="61"/>
    </row>
    <row r="40" spans="2:14" x14ac:dyDescent="0.25">
      <c r="B40" s="57"/>
      <c r="C40" s="85">
        <v>16</v>
      </c>
      <c r="D40" s="85">
        <v>16</v>
      </c>
      <c r="E40" s="222" t="s">
        <v>109</v>
      </c>
      <c r="F40" s="141" t="s">
        <v>180</v>
      </c>
      <c r="G40" s="225" t="s">
        <v>61</v>
      </c>
      <c r="H40" s="87" t="s">
        <v>137</v>
      </c>
      <c r="I40" s="209">
        <v>350</v>
      </c>
      <c r="J40" s="142">
        <v>97.6</v>
      </c>
      <c r="K40" s="218">
        <v>100</v>
      </c>
      <c r="L40" s="211">
        <f t="shared" si="0"/>
        <v>197.6</v>
      </c>
      <c r="M40" s="88">
        <f t="shared" si="1"/>
        <v>0.5645714285714285</v>
      </c>
      <c r="N40" s="61"/>
    </row>
    <row r="41" spans="2:14" x14ac:dyDescent="0.25">
      <c r="B41" s="57"/>
      <c r="C41" s="107"/>
      <c r="D41" s="107">
        <f>+COUNT($D$24:$D$40)</f>
        <v>16</v>
      </c>
      <c r="E41" s="107"/>
      <c r="F41" s="227"/>
      <c r="G41" s="162"/>
      <c r="H41" s="91"/>
      <c r="I41" s="92">
        <f>SUM($I$24:$I$40)</f>
        <v>6332</v>
      </c>
      <c r="J41" s="90">
        <f>SUM($J$24:$J$40)</f>
        <v>1824.9999999999998</v>
      </c>
      <c r="K41" s="214">
        <f>SUM($K$24:$K$40)</f>
        <v>1841.1999999999998</v>
      </c>
      <c r="L41" s="92">
        <f>SUM($L$24:$L$40)</f>
        <v>3666.2000000000003</v>
      </c>
      <c r="M41" s="93">
        <f t="shared" si="1"/>
        <v>0.57899557801642454</v>
      </c>
      <c r="N41" s="61"/>
    </row>
    <row r="42" spans="2:14" ht="16.5" thickBot="1" x14ac:dyDescent="0.3">
      <c r="B42" s="66"/>
      <c r="C42" s="67"/>
      <c r="D42" s="67"/>
      <c r="E42" s="67"/>
      <c r="F42" s="67"/>
      <c r="G42" s="67"/>
      <c r="H42" s="68"/>
      <c r="I42" s="67"/>
      <c r="J42" s="68"/>
      <c r="K42" s="67"/>
      <c r="L42" s="67"/>
      <c r="M42" s="67"/>
      <c r="N42" s="69"/>
    </row>
    <row r="43" spans="2:14" ht="17.25" thickTop="1" thickBot="1" x14ac:dyDescent="0.3">
      <c r="B43" s="54"/>
      <c r="C43" s="54"/>
      <c r="D43" s="54"/>
      <c r="E43" s="54"/>
      <c r="F43" s="54"/>
      <c r="G43" s="54"/>
      <c r="H43" s="55"/>
      <c r="I43" s="54"/>
      <c r="J43" s="55"/>
      <c r="K43" s="54"/>
      <c r="L43" s="54"/>
      <c r="M43" s="54"/>
      <c r="N43" s="54"/>
    </row>
    <row r="44" spans="2:14" ht="16.5" thickTop="1" x14ac:dyDescent="0.25">
      <c r="B44" s="53"/>
      <c r="C44" s="54"/>
      <c r="D44" s="54"/>
      <c r="E44" s="54"/>
      <c r="F44" s="54"/>
      <c r="G44" s="54"/>
      <c r="H44" s="55"/>
      <c r="I44" s="54"/>
      <c r="J44" s="55"/>
      <c r="K44" s="54"/>
      <c r="L44" s="54"/>
      <c r="M44" s="54"/>
      <c r="N44" s="56"/>
    </row>
    <row r="45" spans="2:14" ht="32.25" customHeight="1" x14ac:dyDescent="0.25">
      <c r="B45" s="57"/>
      <c r="D45" s="163" t="s">
        <v>83</v>
      </c>
      <c r="E45" s="164"/>
      <c r="F45" s="164"/>
      <c r="G45" s="164"/>
      <c r="H45" s="115" t="s">
        <v>84</v>
      </c>
      <c r="I45" s="116" t="s">
        <v>59</v>
      </c>
      <c r="J45" s="117" t="s">
        <v>85</v>
      </c>
      <c r="K45" s="118" t="s">
        <v>86</v>
      </c>
      <c r="N45" s="61"/>
    </row>
    <row r="46" spans="2:14" x14ac:dyDescent="0.25">
      <c r="B46" s="57"/>
      <c r="D46" s="155" t="s">
        <v>20</v>
      </c>
      <c r="E46" s="156"/>
      <c r="F46" s="156"/>
      <c r="G46" s="156"/>
      <c r="H46" s="119"/>
      <c r="J46" s="119"/>
      <c r="K46" s="120"/>
      <c r="N46" s="61"/>
    </row>
    <row r="47" spans="2:14" x14ac:dyDescent="0.25">
      <c r="B47" s="57"/>
      <c r="D47" s="155" t="s">
        <v>7</v>
      </c>
      <c r="E47" s="156"/>
      <c r="F47" s="156"/>
      <c r="G47" s="156"/>
      <c r="H47" s="119"/>
      <c r="J47" s="119"/>
      <c r="K47" s="120"/>
      <c r="N47" s="61"/>
    </row>
    <row r="48" spans="2:14" x14ac:dyDescent="0.25">
      <c r="B48" s="57"/>
      <c r="D48" s="155" t="s">
        <v>6</v>
      </c>
      <c r="E48" s="156"/>
      <c r="F48" s="156"/>
      <c r="G48" s="156"/>
      <c r="H48" s="119"/>
      <c r="J48" s="119"/>
      <c r="K48" s="120"/>
      <c r="N48" s="61"/>
    </row>
    <row r="49" spans="2:14" x14ac:dyDescent="0.25">
      <c r="B49" s="57"/>
      <c r="D49" s="155" t="s">
        <v>10</v>
      </c>
      <c r="E49" s="156"/>
      <c r="F49" s="156"/>
      <c r="G49" s="156"/>
      <c r="H49" s="119"/>
      <c r="J49" s="119"/>
      <c r="K49" s="120"/>
      <c r="N49" s="61"/>
    </row>
    <row r="50" spans="2:14" x14ac:dyDescent="0.25">
      <c r="B50" s="57"/>
      <c r="D50" s="155" t="s">
        <v>21</v>
      </c>
      <c r="E50" s="156"/>
      <c r="F50" s="156"/>
      <c r="G50" s="156"/>
      <c r="H50" s="119"/>
      <c r="J50" s="119"/>
      <c r="K50" s="120"/>
      <c r="N50" s="61"/>
    </row>
    <row r="51" spans="2:14" x14ac:dyDescent="0.25">
      <c r="B51" s="57"/>
      <c r="D51" s="155" t="s">
        <v>5</v>
      </c>
      <c r="E51" s="156"/>
      <c r="F51" s="156"/>
      <c r="G51" s="156"/>
      <c r="H51" s="119"/>
      <c r="J51" s="119"/>
      <c r="K51" s="120"/>
      <c r="N51" s="61"/>
    </row>
    <row r="52" spans="2:14" x14ac:dyDescent="0.25">
      <c r="B52" s="57"/>
      <c r="D52" s="155" t="s">
        <v>22</v>
      </c>
      <c r="E52" s="156"/>
      <c r="F52" s="156"/>
      <c r="G52" s="156"/>
      <c r="H52" s="119"/>
      <c r="J52" s="119"/>
      <c r="K52" s="120"/>
      <c r="N52" s="61"/>
    </row>
    <row r="53" spans="2:14" x14ac:dyDescent="0.25">
      <c r="B53" s="57"/>
      <c r="D53" s="155" t="s">
        <v>8</v>
      </c>
      <c r="E53" s="156"/>
      <c r="F53" s="156"/>
      <c r="G53" s="156"/>
      <c r="H53" s="119"/>
      <c r="J53" s="119"/>
      <c r="K53" s="120"/>
      <c r="N53" s="61"/>
    </row>
    <row r="54" spans="2:14" x14ac:dyDescent="0.25">
      <c r="B54" s="57"/>
      <c r="D54" s="155" t="s">
        <v>23</v>
      </c>
      <c r="E54" s="156"/>
      <c r="F54" s="156"/>
      <c r="G54" s="156"/>
      <c r="H54" s="119"/>
      <c r="J54" s="119"/>
      <c r="K54" s="120"/>
      <c r="N54" s="61"/>
    </row>
    <row r="55" spans="2:14" x14ac:dyDescent="0.25">
      <c r="B55" s="57"/>
      <c r="D55" s="155" t="s">
        <v>36</v>
      </c>
      <c r="E55" s="156"/>
      <c r="F55" s="156"/>
      <c r="G55" s="156"/>
      <c r="H55" s="119"/>
      <c r="J55" s="119"/>
      <c r="K55" s="120"/>
      <c r="N55" s="61"/>
    </row>
    <row r="56" spans="2:14" x14ac:dyDescent="0.25">
      <c r="B56" s="57"/>
      <c r="D56" s="155" t="s">
        <v>9</v>
      </c>
      <c r="E56" s="156"/>
      <c r="F56" s="156"/>
      <c r="G56" s="156"/>
      <c r="H56" s="119"/>
      <c r="J56" s="119"/>
      <c r="K56" s="120"/>
      <c r="N56" s="61"/>
    </row>
    <row r="57" spans="2:14" x14ac:dyDescent="0.25">
      <c r="B57" s="57"/>
      <c r="D57" s="155" t="s">
        <v>24</v>
      </c>
      <c r="E57" s="156"/>
      <c r="F57" s="156"/>
      <c r="G57" s="156"/>
      <c r="H57" s="119"/>
      <c r="J57" s="119"/>
      <c r="K57" s="120"/>
      <c r="N57" s="61"/>
    </row>
    <row r="58" spans="2:14" x14ac:dyDescent="0.25">
      <c r="B58" s="57"/>
      <c r="D58" s="155" t="s">
        <v>37</v>
      </c>
      <c r="E58" s="156"/>
      <c r="F58" s="156"/>
      <c r="G58" s="156"/>
      <c r="H58" s="119"/>
      <c r="J58" s="119"/>
      <c r="K58" s="120"/>
      <c r="N58" s="61"/>
    </row>
    <row r="59" spans="2:14" x14ac:dyDescent="0.25">
      <c r="B59" s="57"/>
      <c r="D59" s="157" t="s">
        <v>87</v>
      </c>
      <c r="E59" s="158"/>
      <c r="F59" s="158"/>
      <c r="G59" s="159"/>
      <c r="H59" s="121"/>
      <c r="I59" s="122">
        <f>SUM(I46:I58)</f>
        <v>0</v>
      </c>
      <c r="J59" s="123">
        <f>SUM(J46:J58)</f>
        <v>0</v>
      </c>
      <c r="K59" s="124">
        <f>SUM(K46:K58)</f>
        <v>0</v>
      </c>
      <c r="N59" s="61"/>
    </row>
    <row r="60" spans="2:14" ht="16.5" thickBot="1" x14ac:dyDescent="0.3">
      <c r="B60" s="66"/>
      <c r="C60" s="67"/>
      <c r="D60" s="67"/>
      <c r="E60" s="67"/>
      <c r="F60" s="67"/>
      <c r="G60" s="67"/>
      <c r="H60" s="68"/>
      <c r="I60" s="67"/>
      <c r="J60" s="68"/>
      <c r="K60" s="67"/>
      <c r="L60" s="67"/>
      <c r="M60" s="67"/>
      <c r="N60" s="69"/>
    </row>
    <row r="61" spans="2:14" ht="16.5" thickTop="1" x14ac:dyDescent="0.25">
      <c r="B61" s="57"/>
      <c r="G61" s="125"/>
      <c r="H61" s="126"/>
      <c r="I61" s="125"/>
      <c r="J61" s="126"/>
      <c r="N61" s="61"/>
    </row>
    <row r="62" spans="2:14" ht="15.75" customHeight="1" x14ac:dyDescent="0.25">
      <c r="B62" s="57"/>
      <c r="F62" s="160" t="s">
        <v>88</v>
      </c>
      <c r="G62" s="160"/>
      <c r="H62" s="127" t="s">
        <v>89</v>
      </c>
      <c r="I62" s="115" t="s">
        <v>77</v>
      </c>
      <c r="N62" s="61"/>
    </row>
    <row r="63" spans="2:14" x14ac:dyDescent="0.25">
      <c r="B63" s="57"/>
      <c r="F63" s="161" t="s">
        <v>35</v>
      </c>
      <c r="G63" s="161"/>
      <c r="H63" s="128"/>
      <c r="I63" s="129"/>
      <c r="N63" s="61"/>
    </row>
    <row r="64" spans="2:14" x14ac:dyDescent="0.25">
      <c r="B64" s="57"/>
      <c r="F64" s="152" t="s">
        <v>90</v>
      </c>
      <c r="G64" s="152"/>
      <c r="H64" s="130">
        <f>+D41</f>
        <v>16</v>
      </c>
      <c r="I64" s="131"/>
      <c r="N64" s="61"/>
    </row>
    <row r="65" spans="2:14" x14ac:dyDescent="0.25">
      <c r="B65" s="57"/>
      <c r="F65" s="152" t="s">
        <v>91</v>
      </c>
      <c r="G65" s="152"/>
      <c r="H65" s="132"/>
      <c r="I65" s="131"/>
      <c r="N65" s="61"/>
    </row>
    <row r="66" spans="2:14" x14ac:dyDescent="0.25">
      <c r="B66" s="57"/>
      <c r="F66" s="152" t="s">
        <v>92</v>
      </c>
      <c r="G66" s="152"/>
      <c r="H66" s="132"/>
      <c r="I66" s="131"/>
      <c r="N66" s="61"/>
    </row>
    <row r="67" spans="2:14" x14ac:dyDescent="0.25">
      <c r="B67" s="57"/>
      <c r="F67" s="153" t="s">
        <v>93</v>
      </c>
      <c r="G67" s="153"/>
      <c r="H67" s="133"/>
      <c r="I67" s="134"/>
      <c r="N67" s="61"/>
    </row>
    <row r="68" spans="2:14" x14ac:dyDescent="0.25">
      <c r="B68" s="57"/>
      <c r="F68" s="154" t="s">
        <v>87</v>
      </c>
      <c r="G68" s="154"/>
      <c r="H68" s="136"/>
      <c r="I68" s="121">
        <f>SUM(I63:I67)</f>
        <v>0</v>
      </c>
      <c r="N68" s="61"/>
    </row>
    <row r="69" spans="2:14" ht="16.5" thickBot="1" x14ac:dyDescent="0.3">
      <c r="B69" s="66"/>
      <c r="C69" s="67"/>
      <c r="D69" s="67"/>
      <c r="E69" s="67"/>
      <c r="F69" s="67"/>
      <c r="G69" s="67"/>
      <c r="H69" s="68"/>
      <c r="I69" s="67"/>
      <c r="J69" s="68"/>
      <c r="K69" s="67"/>
      <c r="L69" s="67"/>
      <c r="M69" s="67"/>
      <c r="N69" s="69"/>
    </row>
    <row r="70" spans="2:14" ht="16.5" thickTop="1" x14ac:dyDescent="0.25">
      <c r="I70" s="94"/>
    </row>
  </sheetData>
  <sortState ref="C25:I40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49:G49"/>
    <mergeCell ref="H23:H24"/>
    <mergeCell ref="I23:I24"/>
    <mergeCell ref="J23:J24"/>
    <mergeCell ref="K23:K24"/>
    <mergeCell ref="F41:G41"/>
    <mergeCell ref="D45:G45"/>
    <mergeCell ref="D46:G46"/>
    <mergeCell ref="D47:G47"/>
    <mergeCell ref="D48:G48"/>
    <mergeCell ref="F63:G63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D59:G59"/>
    <mergeCell ref="F62:G62"/>
    <mergeCell ref="F64:G64"/>
    <mergeCell ref="F65:G65"/>
    <mergeCell ref="F66:G66"/>
    <mergeCell ref="F67:G67"/>
    <mergeCell ref="F68:G68"/>
  </mergeCells>
  <conditionalFormatting sqref="M25:M40">
    <cfRule type="cellIs" dxfId="4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58"/>
  <sheetViews>
    <sheetView topLeftCell="A19" zoomScaleNormal="100" workbookViewId="0">
      <selection activeCell="N30" sqref="B2:N30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+M29</f>
        <v>0.56354166666666672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+L29/D29</f>
        <v>175.82500000000002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167</v>
      </c>
      <c r="F8" s="187"/>
      <c r="G8" s="187"/>
      <c r="H8" s="188"/>
      <c r="I8" s="70" t="s">
        <v>54</v>
      </c>
      <c r="J8" s="174" t="s">
        <v>168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69675</v>
      </c>
      <c r="F9" s="187"/>
      <c r="G9" s="187"/>
      <c r="H9" s="188"/>
      <c r="I9" s="70" t="s">
        <v>56</v>
      </c>
      <c r="J9" s="110" t="s">
        <v>169</v>
      </c>
      <c r="K9" s="105" t="s">
        <v>57</v>
      </c>
      <c r="L9" s="181" t="s">
        <v>170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0.63888888888888895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196</v>
      </c>
      <c r="F15" s="186"/>
      <c r="H15" s="51"/>
      <c r="I15" s="73"/>
      <c r="J15" s="104" t="s">
        <v>61</v>
      </c>
      <c r="K15" s="106">
        <f>+COUNTIF($G$24:$G$29,"VQ")*2</f>
        <v>6</v>
      </c>
      <c r="L15" s="106">
        <f>+SUMIF($G$25:$G$28,"VQ",$L$25:$L$28)</f>
        <v>524.1</v>
      </c>
      <c r="N15" s="61"/>
    </row>
    <row r="16" spans="2:14" x14ac:dyDescent="0.25">
      <c r="B16" s="57"/>
      <c r="C16" s="173" t="s">
        <v>62</v>
      </c>
      <c r="D16" s="173"/>
      <c r="E16" s="181">
        <f>+D29</f>
        <v>4</v>
      </c>
      <c r="F16" s="181"/>
      <c r="H16" s="51"/>
      <c r="I16" s="73"/>
      <c r="J16" s="104" t="s">
        <v>63</v>
      </c>
      <c r="K16" s="106">
        <f>+COUNTIF($G$24:$G$29,"NT")*2</f>
        <v>2</v>
      </c>
      <c r="L16" s="106">
        <f>+SUMIF($G$25:$G$28,"NT",$L$25:$L$28)</f>
        <v>179.2</v>
      </c>
      <c r="N16" s="61"/>
    </row>
    <row r="17" spans="2:14" x14ac:dyDescent="0.25">
      <c r="B17" s="57"/>
      <c r="C17" s="173" t="s">
        <v>64</v>
      </c>
      <c r="D17" s="173"/>
      <c r="E17" s="180">
        <f>+I29</f>
        <v>1248</v>
      </c>
      <c r="F17" s="181"/>
      <c r="H17" s="51"/>
      <c r="I17" s="73"/>
      <c r="J17" s="104" t="s">
        <v>65</v>
      </c>
      <c r="K17" s="106">
        <f>+COUNTIF($G$24:$G$29,"NO")*2</f>
        <v>0</v>
      </c>
      <c r="L17" s="106">
        <f>+SUMIF($G$25:$G$28,"NO",$L$25:$L$28)</f>
        <v>0</v>
      </c>
      <c r="N17" s="61"/>
    </row>
    <row r="18" spans="2:14" x14ac:dyDescent="0.25">
      <c r="B18" s="57"/>
      <c r="C18" s="173" t="s">
        <v>66</v>
      </c>
      <c r="D18" s="173"/>
      <c r="E18" s="180">
        <f>+L29</f>
        <v>703.30000000000007</v>
      </c>
      <c r="F18" s="181"/>
      <c r="H18" s="51"/>
      <c r="I18" s="73"/>
      <c r="J18" s="104" t="s">
        <v>67</v>
      </c>
      <c r="K18" s="106">
        <f>+COUNTIF($G$24:$G$29,"TO")*2</f>
        <v>0</v>
      </c>
      <c r="L18" s="106">
        <f>+SUMIF($G$25:$G$28,"TO",$L$25:$L$28)</f>
        <v>0</v>
      </c>
      <c r="N18" s="61"/>
    </row>
    <row r="19" spans="2:14" x14ac:dyDescent="0.25">
      <c r="B19" s="57"/>
      <c r="C19" s="173" t="s">
        <v>68</v>
      </c>
      <c r="D19" s="173"/>
      <c r="E19" s="182">
        <f>+M29</f>
        <v>0.56354166666666672</v>
      </c>
      <c r="F19" s="181"/>
      <c r="G19" s="73"/>
      <c r="H19" s="114"/>
      <c r="I19" s="73"/>
      <c r="J19" s="104" t="s">
        <v>69</v>
      </c>
      <c r="K19" s="106">
        <f>+COUNTIF($G$24:$G$29,"VA")*2</f>
        <v>0</v>
      </c>
      <c r="L19" s="106">
        <f>+SUMIF($G$25:$G$28,"VA",$L$25:$L$28)</f>
        <v>0</v>
      </c>
      <c r="N19" s="61"/>
    </row>
    <row r="20" spans="2:14" x14ac:dyDescent="0.25">
      <c r="B20" s="57"/>
      <c r="C20" s="173" t="s">
        <v>70</v>
      </c>
      <c r="D20" s="173"/>
      <c r="E20" s="174">
        <f>+L29/D29</f>
        <v>175.82500000000002</v>
      </c>
      <c r="F20" s="174"/>
      <c r="G20" s="73"/>
      <c r="H20" s="114"/>
      <c r="I20" s="73"/>
      <c r="J20" s="104" t="s">
        <v>71</v>
      </c>
      <c r="K20" s="106">
        <f>+COUNTIF($G$24:$G$29,"MEJ")*2</f>
        <v>0</v>
      </c>
      <c r="L20" s="106">
        <f>+SUMIF($G$25:$G$28,"MEJ",$L$25:$L$28)</f>
        <v>0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1">
        <v>54</v>
      </c>
      <c r="D25" s="81">
        <v>1</v>
      </c>
      <c r="E25" s="229" t="s">
        <v>103</v>
      </c>
      <c r="F25" s="137" t="s">
        <v>180</v>
      </c>
      <c r="G25" s="224" t="s">
        <v>61</v>
      </c>
      <c r="H25" s="83" t="s">
        <v>171</v>
      </c>
      <c r="I25" s="208">
        <v>311</v>
      </c>
      <c r="J25" s="139">
        <v>86.5</v>
      </c>
      <c r="K25" s="215">
        <v>87.3</v>
      </c>
      <c r="L25" s="210">
        <f t="shared" ref="L25:L28" si="0">+J25+K25</f>
        <v>173.8</v>
      </c>
      <c r="M25" s="84">
        <f t="shared" ref="M25:M29" si="1">+L25/I25</f>
        <v>0.55884244372990355</v>
      </c>
      <c r="N25" s="61"/>
    </row>
    <row r="26" spans="2:14" x14ac:dyDescent="0.25">
      <c r="B26" s="57"/>
      <c r="C26" s="85">
        <v>55</v>
      </c>
      <c r="D26" s="85">
        <v>2</v>
      </c>
      <c r="E26" s="222" t="s">
        <v>103</v>
      </c>
      <c r="F26" s="230" t="s">
        <v>182</v>
      </c>
      <c r="G26" s="225" t="s">
        <v>63</v>
      </c>
      <c r="H26" s="87" t="s">
        <v>172</v>
      </c>
      <c r="I26" s="209">
        <v>313</v>
      </c>
      <c r="J26" s="219">
        <v>89</v>
      </c>
      <c r="K26" s="216">
        <v>90.2</v>
      </c>
      <c r="L26" s="211">
        <f t="shared" si="0"/>
        <v>179.2</v>
      </c>
      <c r="M26" s="88">
        <f t="shared" si="1"/>
        <v>0.57252396166134178</v>
      </c>
      <c r="N26" s="61"/>
    </row>
    <row r="27" spans="2:14" x14ac:dyDescent="0.25">
      <c r="B27" s="57"/>
      <c r="C27" s="85">
        <v>56</v>
      </c>
      <c r="D27" s="85">
        <v>3</v>
      </c>
      <c r="E27" s="222" t="s">
        <v>103</v>
      </c>
      <c r="F27" s="230" t="s">
        <v>180</v>
      </c>
      <c r="G27" s="225" t="s">
        <v>61</v>
      </c>
      <c r="H27" s="87" t="s">
        <v>173</v>
      </c>
      <c r="I27" s="209">
        <v>326</v>
      </c>
      <c r="J27" s="219">
        <v>92.7</v>
      </c>
      <c r="K27" s="216">
        <v>93</v>
      </c>
      <c r="L27" s="211">
        <f t="shared" si="0"/>
        <v>185.7</v>
      </c>
      <c r="M27" s="88">
        <f t="shared" si="1"/>
        <v>0.56963190184049073</v>
      </c>
      <c r="N27" s="61"/>
    </row>
    <row r="28" spans="2:14" x14ac:dyDescent="0.25">
      <c r="B28" s="57"/>
      <c r="C28" s="85">
        <v>57</v>
      </c>
      <c r="D28" s="85">
        <v>4</v>
      </c>
      <c r="E28" s="222" t="s">
        <v>103</v>
      </c>
      <c r="F28" s="140" t="s">
        <v>180</v>
      </c>
      <c r="G28" s="225" t="s">
        <v>61</v>
      </c>
      <c r="H28" s="87" t="s">
        <v>174</v>
      </c>
      <c r="I28" s="209">
        <v>298</v>
      </c>
      <c r="J28" s="142">
        <v>82.6</v>
      </c>
      <c r="K28" s="218">
        <v>82</v>
      </c>
      <c r="L28" s="211">
        <f t="shared" si="0"/>
        <v>164.6</v>
      </c>
      <c r="M28" s="88">
        <f t="shared" si="1"/>
        <v>0.55234899328859055</v>
      </c>
      <c r="N28" s="61"/>
    </row>
    <row r="29" spans="2:14" x14ac:dyDescent="0.25">
      <c r="B29" s="57"/>
      <c r="C29" s="107"/>
      <c r="D29" s="107">
        <f>+COUNT($D$24:$D$28)</f>
        <v>4</v>
      </c>
      <c r="E29" s="107"/>
      <c r="F29" s="227"/>
      <c r="G29" s="162"/>
      <c r="H29" s="91"/>
      <c r="I29" s="92">
        <f>SUM($I$24:$I$28)</f>
        <v>1248</v>
      </c>
      <c r="J29" s="90">
        <f>SUM($J$24:$J$28)</f>
        <v>350.79999999999995</v>
      </c>
      <c r="K29" s="214">
        <f>SUM($K$24:$K$28)</f>
        <v>352.5</v>
      </c>
      <c r="L29" s="92">
        <f>SUM($L$24:$L$28)</f>
        <v>703.30000000000007</v>
      </c>
      <c r="M29" s="93">
        <f t="shared" si="1"/>
        <v>0.56354166666666672</v>
      </c>
      <c r="N29" s="61"/>
    </row>
    <row r="30" spans="2:14" ht="16.5" thickBot="1" x14ac:dyDescent="0.3">
      <c r="B30" s="66"/>
      <c r="C30" s="67"/>
      <c r="D30" s="67"/>
      <c r="E30" s="67"/>
      <c r="F30" s="67"/>
      <c r="G30" s="67"/>
      <c r="H30" s="68"/>
      <c r="I30" s="67"/>
      <c r="J30" s="68"/>
      <c r="K30" s="67"/>
      <c r="L30" s="67"/>
      <c r="M30" s="67"/>
      <c r="N30" s="69"/>
    </row>
    <row r="31" spans="2:14" ht="17.25" thickTop="1" thickBot="1" x14ac:dyDescent="0.3">
      <c r="B31" s="54"/>
      <c r="C31" s="54"/>
      <c r="D31" s="54"/>
      <c r="E31" s="54"/>
      <c r="F31" s="54"/>
      <c r="G31" s="54"/>
      <c r="H31" s="55"/>
      <c r="I31" s="54"/>
      <c r="J31" s="55"/>
      <c r="K31" s="54"/>
      <c r="L31" s="54"/>
      <c r="M31" s="54"/>
      <c r="N31" s="54"/>
    </row>
    <row r="32" spans="2:14" ht="16.5" thickTop="1" x14ac:dyDescent="0.25">
      <c r="B32" s="53"/>
      <c r="C32" s="54"/>
      <c r="D32" s="54"/>
      <c r="E32" s="54"/>
      <c r="F32" s="54"/>
      <c r="G32" s="54"/>
      <c r="H32" s="55"/>
      <c r="I32" s="54"/>
      <c r="J32" s="55"/>
      <c r="K32" s="54"/>
      <c r="L32" s="54"/>
      <c r="M32" s="54"/>
      <c r="N32" s="56"/>
    </row>
    <row r="33" spans="2:14" ht="32.25" customHeight="1" x14ac:dyDescent="0.25">
      <c r="B33" s="57"/>
      <c r="D33" s="163" t="s">
        <v>83</v>
      </c>
      <c r="E33" s="164"/>
      <c r="F33" s="164"/>
      <c r="G33" s="164"/>
      <c r="H33" s="115" t="s">
        <v>84</v>
      </c>
      <c r="I33" s="116" t="s">
        <v>59</v>
      </c>
      <c r="J33" s="117" t="s">
        <v>85</v>
      </c>
      <c r="K33" s="118" t="s">
        <v>86</v>
      </c>
      <c r="N33" s="61"/>
    </row>
    <row r="34" spans="2:14" x14ac:dyDescent="0.25">
      <c r="B34" s="57"/>
      <c r="D34" s="155" t="s">
        <v>20</v>
      </c>
      <c r="E34" s="156"/>
      <c r="F34" s="156"/>
      <c r="G34" s="156"/>
      <c r="H34" s="119"/>
      <c r="J34" s="119"/>
      <c r="K34" s="120"/>
      <c r="N34" s="61"/>
    </row>
    <row r="35" spans="2:14" x14ac:dyDescent="0.25">
      <c r="B35" s="57"/>
      <c r="D35" s="155" t="s">
        <v>7</v>
      </c>
      <c r="E35" s="156"/>
      <c r="F35" s="156"/>
      <c r="G35" s="156"/>
      <c r="H35" s="119"/>
      <c r="J35" s="119"/>
      <c r="K35" s="120"/>
      <c r="N35" s="61"/>
    </row>
    <row r="36" spans="2:14" x14ac:dyDescent="0.25">
      <c r="B36" s="57"/>
      <c r="D36" s="155" t="s">
        <v>6</v>
      </c>
      <c r="E36" s="156"/>
      <c r="F36" s="156"/>
      <c r="G36" s="156"/>
      <c r="H36" s="119"/>
      <c r="J36" s="119"/>
      <c r="K36" s="120"/>
      <c r="N36" s="61"/>
    </row>
    <row r="37" spans="2:14" x14ac:dyDescent="0.25">
      <c r="B37" s="57"/>
      <c r="D37" s="155" t="s">
        <v>10</v>
      </c>
      <c r="E37" s="156"/>
      <c r="F37" s="156"/>
      <c r="G37" s="156"/>
      <c r="H37" s="119"/>
      <c r="J37" s="119"/>
      <c r="K37" s="120"/>
      <c r="N37" s="61"/>
    </row>
    <row r="38" spans="2:14" x14ac:dyDescent="0.25">
      <c r="B38" s="57"/>
      <c r="D38" s="155" t="s">
        <v>21</v>
      </c>
      <c r="E38" s="156"/>
      <c r="F38" s="156"/>
      <c r="G38" s="156"/>
      <c r="H38" s="119"/>
      <c r="J38" s="119"/>
      <c r="K38" s="120"/>
      <c r="N38" s="61"/>
    </row>
    <row r="39" spans="2:14" x14ac:dyDescent="0.25">
      <c r="B39" s="57"/>
      <c r="D39" s="155" t="s">
        <v>5</v>
      </c>
      <c r="E39" s="156"/>
      <c r="F39" s="156"/>
      <c r="G39" s="156"/>
      <c r="H39" s="119"/>
      <c r="J39" s="119"/>
      <c r="K39" s="120"/>
      <c r="N39" s="61"/>
    </row>
    <row r="40" spans="2:14" x14ac:dyDescent="0.25">
      <c r="B40" s="57"/>
      <c r="D40" s="155" t="s">
        <v>22</v>
      </c>
      <c r="E40" s="156"/>
      <c r="F40" s="156"/>
      <c r="G40" s="156"/>
      <c r="H40" s="119"/>
      <c r="J40" s="119"/>
      <c r="K40" s="120"/>
      <c r="N40" s="61"/>
    </row>
    <row r="41" spans="2:14" x14ac:dyDescent="0.25">
      <c r="B41" s="57"/>
      <c r="D41" s="155" t="s">
        <v>8</v>
      </c>
      <c r="E41" s="156"/>
      <c r="F41" s="156"/>
      <c r="G41" s="156"/>
      <c r="H41" s="119"/>
      <c r="J41" s="119"/>
      <c r="K41" s="120"/>
      <c r="N41" s="61"/>
    </row>
    <row r="42" spans="2:14" x14ac:dyDescent="0.25">
      <c r="B42" s="57"/>
      <c r="D42" s="155" t="s">
        <v>23</v>
      </c>
      <c r="E42" s="156"/>
      <c r="F42" s="156"/>
      <c r="G42" s="156"/>
      <c r="H42" s="119"/>
      <c r="J42" s="119"/>
      <c r="K42" s="120"/>
      <c r="N42" s="61"/>
    </row>
    <row r="43" spans="2:14" x14ac:dyDescent="0.25">
      <c r="B43" s="57"/>
      <c r="D43" s="155" t="s">
        <v>36</v>
      </c>
      <c r="E43" s="156"/>
      <c r="F43" s="156"/>
      <c r="G43" s="156"/>
      <c r="H43" s="119"/>
      <c r="J43" s="119"/>
      <c r="K43" s="120"/>
      <c r="N43" s="61"/>
    </row>
    <row r="44" spans="2:14" x14ac:dyDescent="0.25">
      <c r="B44" s="57"/>
      <c r="D44" s="155" t="s">
        <v>9</v>
      </c>
      <c r="E44" s="156"/>
      <c r="F44" s="156"/>
      <c r="G44" s="156"/>
      <c r="H44" s="119"/>
      <c r="J44" s="119"/>
      <c r="K44" s="120"/>
      <c r="N44" s="61"/>
    </row>
    <row r="45" spans="2:14" x14ac:dyDescent="0.25">
      <c r="B45" s="57"/>
      <c r="D45" s="155" t="s">
        <v>24</v>
      </c>
      <c r="E45" s="156"/>
      <c r="F45" s="156"/>
      <c r="G45" s="156"/>
      <c r="H45" s="119"/>
      <c r="J45" s="119"/>
      <c r="K45" s="120"/>
      <c r="N45" s="61"/>
    </row>
    <row r="46" spans="2:14" x14ac:dyDescent="0.25">
      <c r="B46" s="57"/>
      <c r="D46" s="155" t="s">
        <v>37</v>
      </c>
      <c r="E46" s="156"/>
      <c r="F46" s="156"/>
      <c r="G46" s="156"/>
      <c r="H46" s="119"/>
      <c r="J46" s="119"/>
      <c r="K46" s="120"/>
      <c r="N46" s="61"/>
    </row>
    <row r="47" spans="2:14" x14ac:dyDescent="0.25">
      <c r="B47" s="57"/>
      <c r="D47" s="157" t="s">
        <v>87</v>
      </c>
      <c r="E47" s="158"/>
      <c r="F47" s="158"/>
      <c r="G47" s="159"/>
      <c r="H47" s="121"/>
      <c r="I47" s="122">
        <f>SUM(I34:I46)</f>
        <v>0</v>
      </c>
      <c r="J47" s="123">
        <f>SUM(J34:J46)</f>
        <v>0</v>
      </c>
      <c r="K47" s="124">
        <f>SUM(K34:K46)</f>
        <v>0</v>
      </c>
      <c r="N47" s="61"/>
    </row>
    <row r="48" spans="2:14" ht="16.5" thickBot="1" x14ac:dyDescent="0.3">
      <c r="B48" s="66"/>
      <c r="C48" s="67"/>
      <c r="D48" s="67"/>
      <c r="E48" s="67"/>
      <c r="F48" s="67"/>
      <c r="G48" s="67"/>
      <c r="H48" s="68"/>
      <c r="I48" s="67"/>
      <c r="J48" s="68"/>
      <c r="K48" s="67"/>
      <c r="L48" s="67"/>
      <c r="M48" s="67"/>
      <c r="N48" s="69"/>
    </row>
    <row r="49" spans="2:14" ht="16.5" thickTop="1" x14ac:dyDescent="0.25">
      <c r="B49" s="57"/>
      <c r="G49" s="125"/>
      <c r="H49" s="126"/>
      <c r="I49" s="125"/>
      <c r="J49" s="126"/>
      <c r="N49" s="61"/>
    </row>
    <row r="50" spans="2:14" ht="15.75" customHeight="1" x14ac:dyDescent="0.25">
      <c r="B50" s="57"/>
      <c r="F50" s="160" t="s">
        <v>88</v>
      </c>
      <c r="G50" s="160"/>
      <c r="H50" s="127" t="s">
        <v>89</v>
      </c>
      <c r="I50" s="115" t="s">
        <v>77</v>
      </c>
      <c r="N50" s="61"/>
    </row>
    <row r="51" spans="2:14" x14ac:dyDescent="0.25">
      <c r="B51" s="57"/>
      <c r="F51" s="161" t="s">
        <v>35</v>
      </c>
      <c r="G51" s="161"/>
      <c r="H51" s="128"/>
      <c r="I51" s="129"/>
      <c r="N51" s="61"/>
    </row>
    <row r="52" spans="2:14" x14ac:dyDescent="0.25">
      <c r="B52" s="57"/>
      <c r="F52" s="152" t="s">
        <v>90</v>
      </c>
      <c r="G52" s="152"/>
      <c r="H52" s="130">
        <f>+D29</f>
        <v>4</v>
      </c>
      <c r="I52" s="131"/>
      <c r="N52" s="61"/>
    </row>
    <row r="53" spans="2:14" x14ac:dyDescent="0.25">
      <c r="B53" s="57"/>
      <c r="F53" s="152" t="s">
        <v>91</v>
      </c>
      <c r="G53" s="152"/>
      <c r="H53" s="132"/>
      <c r="I53" s="131"/>
      <c r="N53" s="61"/>
    </row>
    <row r="54" spans="2:14" x14ac:dyDescent="0.25">
      <c r="B54" s="57"/>
      <c r="F54" s="152" t="s">
        <v>92</v>
      </c>
      <c r="G54" s="152"/>
      <c r="H54" s="132"/>
      <c r="I54" s="131"/>
      <c r="N54" s="61"/>
    </row>
    <row r="55" spans="2:14" x14ac:dyDescent="0.25">
      <c r="B55" s="57"/>
      <c r="F55" s="153" t="s">
        <v>93</v>
      </c>
      <c r="G55" s="153"/>
      <c r="H55" s="133"/>
      <c r="I55" s="134"/>
      <c r="N55" s="61"/>
    </row>
    <row r="56" spans="2:14" x14ac:dyDescent="0.25">
      <c r="B56" s="57"/>
      <c r="F56" s="154" t="s">
        <v>87</v>
      </c>
      <c r="G56" s="154"/>
      <c r="H56" s="136"/>
      <c r="I56" s="121">
        <f>SUM(I51:I55)</f>
        <v>0</v>
      </c>
      <c r="N56" s="61"/>
    </row>
    <row r="57" spans="2:14" ht="16.5" thickBot="1" x14ac:dyDescent="0.3">
      <c r="B57" s="66"/>
      <c r="C57" s="67"/>
      <c r="D57" s="67"/>
      <c r="E57" s="67"/>
      <c r="F57" s="67"/>
      <c r="G57" s="67"/>
      <c r="H57" s="68"/>
      <c r="I57" s="67"/>
      <c r="J57" s="68"/>
      <c r="K57" s="67"/>
      <c r="L57" s="67"/>
      <c r="M57" s="67"/>
      <c r="N57" s="69"/>
    </row>
    <row r="58" spans="2:14" ht="16.5" thickTop="1" x14ac:dyDescent="0.25">
      <c r="I58" s="94"/>
    </row>
  </sheetData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37:G37"/>
    <mergeCell ref="H23:H24"/>
    <mergeCell ref="I23:I24"/>
    <mergeCell ref="J23:J24"/>
    <mergeCell ref="K23:K24"/>
    <mergeCell ref="F29:G29"/>
    <mergeCell ref="D33:G33"/>
    <mergeCell ref="D34:G34"/>
    <mergeCell ref="D35:G35"/>
    <mergeCell ref="D36:G36"/>
    <mergeCell ref="F51:G51"/>
    <mergeCell ref="D38:G38"/>
    <mergeCell ref="D39:G39"/>
    <mergeCell ref="D40:G40"/>
    <mergeCell ref="D41:G41"/>
    <mergeCell ref="D42:G42"/>
    <mergeCell ref="D43:G43"/>
    <mergeCell ref="D44:G44"/>
    <mergeCell ref="D45:G45"/>
    <mergeCell ref="D46:G46"/>
    <mergeCell ref="D47:G47"/>
    <mergeCell ref="F50:G50"/>
    <mergeCell ref="F52:G52"/>
    <mergeCell ref="F53:G53"/>
    <mergeCell ref="F54:G54"/>
    <mergeCell ref="F55:G55"/>
    <mergeCell ref="F56:G56"/>
  </mergeCells>
  <conditionalFormatting sqref="M25:M28">
    <cfRule type="cellIs" dxfId="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56"/>
  <sheetViews>
    <sheetView topLeftCell="A17" zoomScaleNormal="100" workbookViewId="0">
      <selection activeCell="N28" sqref="B2:N28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+M27</f>
        <v>0.556732223903177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+L27/D27</f>
        <v>184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99</v>
      </c>
      <c r="F8" s="187"/>
      <c r="G8" s="187"/>
      <c r="H8" s="188"/>
      <c r="I8" s="70" t="s">
        <v>54</v>
      </c>
      <c r="J8" s="174" t="s">
        <v>175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69656</v>
      </c>
      <c r="F9" s="187"/>
      <c r="G9" s="187"/>
      <c r="H9" s="188"/>
      <c r="I9" s="70" t="s">
        <v>56</v>
      </c>
      <c r="J9" s="110" t="s">
        <v>176</v>
      </c>
      <c r="K9" s="105" t="s">
        <v>57</v>
      </c>
      <c r="L9" s="181" t="s">
        <v>177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0.63888888888888895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197</v>
      </c>
      <c r="F15" s="186"/>
      <c r="H15" s="51"/>
      <c r="I15" s="73"/>
      <c r="J15" s="104" t="s">
        <v>61</v>
      </c>
      <c r="K15" s="106">
        <f>+COUNTIF($G$24:$G$27,"VQ")*2</f>
        <v>0</v>
      </c>
      <c r="L15" s="106">
        <f>+SUMIF($G$25:$G$26,"VQ",$L$25:$L$26)</f>
        <v>0</v>
      </c>
      <c r="N15" s="61"/>
    </row>
    <row r="16" spans="2:14" x14ac:dyDescent="0.25">
      <c r="B16" s="57"/>
      <c r="C16" s="173" t="s">
        <v>62</v>
      </c>
      <c r="D16" s="173"/>
      <c r="E16" s="181">
        <f>+D27</f>
        <v>2</v>
      </c>
      <c r="F16" s="181"/>
      <c r="H16" s="51"/>
      <c r="I16" s="73"/>
      <c r="J16" s="104" t="s">
        <v>63</v>
      </c>
      <c r="K16" s="106">
        <f>+COUNTIF($G$24:$G$27,"NT")*2</f>
        <v>4</v>
      </c>
      <c r="L16" s="106">
        <f>+SUMIF($G$25:$G$26,"NT",$L$25:$L$26)</f>
        <v>368</v>
      </c>
      <c r="N16" s="61"/>
    </row>
    <row r="17" spans="2:14" x14ac:dyDescent="0.25">
      <c r="B17" s="57"/>
      <c r="C17" s="173" t="s">
        <v>64</v>
      </c>
      <c r="D17" s="173"/>
      <c r="E17" s="180">
        <f>+I27</f>
        <v>661</v>
      </c>
      <c r="F17" s="181"/>
      <c r="H17" s="51"/>
      <c r="I17" s="73"/>
      <c r="J17" s="104" t="s">
        <v>65</v>
      </c>
      <c r="K17" s="106">
        <f>+COUNTIF($G$24:$G$27,"NO")*2</f>
        <v>0</v>
      </c>
      <c r="L17" s="106">
        <f>+SUMIF($G$25:$G$26,"NO",$L$25:$L$26)</f>
        <v>0</v>
      </c>
      <c r="N17" s="61"/>
    </row>
    <row r="18" spans="2:14" x14ac:dyDescent="0.25">
      <c r="B18" s="57"/>
      <c r="C18" s="173" t="s">
        <v>66</v>
      </c>
      <c r="D18" s="173"/>
      <c r="E18" s="180">
        <f>+L27</f>
        <v>368</v>
      </c>
      <c r="F18" s="181"/>
      <c r="H18" s="51"/>
      <c r="I18" s="73"/>
      <c r="J18" s="104" t="s">
        <v>67</v>
      </c>
      <c r="K18" s="106">
        <f>+COUNTIF($G$24:$G$27,"TO")*2</f>
        <v>0</v>
      </c>
      <c r="L18" s="106">
        <f>+SUMIF($G$25:$G$26,"TO",$L$25:$L$26)</f>
        <v>0</v>
      </c>
      <c r="N18" s="61"/>
    </row>
    <row r="19" spans="2:14" x14ac:dyDescent="0.25">
      <c r="B19" s="57"/>
      <c r="C19" s="173" t="s">
        <v>68</v>
      </c>
      <c r="D19" s="173"/>
      <c r="E19" s="182">
        <f>+M27</f>
        <v>0.556732223903177</v>
      </c>
      <c r="F19" s="181"/>
      <c r="G19" s="73"/>
      <c r="H19" s="114"/>
      <c r="I19" s="73"/>
      <c r="J19" s="104" t="s">
        <v>69</v>
      </c>
      <c r="K19" s="106">
        <f>+COUNTIF($G$24:$G$27,"VA")*2</f>
        <v>0</v>
      </c>
      <c r="L19" s="106">
        <f>+SUMIF($G$25:$G$26,"VA",$L$25:$L$26)</f>
        <v>0</v>
      </c>
      <c r="N19" s="61"/>
    </row>
    <row r="20" spans="2:14" x14ac:dyDescent="0.25">
      <c r="B20" s="57"/>
      <c r="C20" s="173" t="s">
        <v>70</v>
      </c>
      <c r="D20" s="173"/>
      <c r="E20" s="174">
        <f>+L27/D27</f>
        <v>184</v>
      </c>
      <c r="F20" s="174"/>
      <c r="G20" s="73"/>
      <c r="H20" s="114"/>
      <c r="I20" s="73"/>
      <c r="J20" s="104" t="s">
        <v>71</v>
      </c>
      <c r="K20" s="106">
        <f>+COUNTIF($G$24:$G$27,"MEJ")*2</f>
        <v>0</v>
      </c>
      <c r="L20" s="106">
        <f>+SUMIF($G$25:$G$26,"MEJ",$L$25:$L$26)</f>
        <v>0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1">
        <v>58</v>
      </c>
      <c r="D25" s="81">
        <v>2</v>
      </c>
      <c r="E25" s="229" t="s">
        <v>108</v>
      </c>
      <c r="F25" s="137" t="s">
        <v>182</v>
      </c>
      <c r="G25" s="224" t="s">
        <v>63</v>
      </c>
      <c r="H25" s="83" t="s">
        <v>179</v>
      </c>
      <c r="I25" s="208">
        <v>320</v>
      </c>
      <c r="J25" s="139">
        <v>88.5</v>
      </c>
      <c r="K25" s="215">
        <v>88.2</v>
      </c>
      <c r="L25" s="210">
        <f t="shared" ref="L25:L26" si="0">+J25+K25</f>
        <v>176.7</v>
      </c>
      <c r="M25" s="84">
        <f t="shared" ref="M25:M27" si="1">+L25/I25</f>
        <v>0.55218749999999994</v>
      </c>
      <c r="N25" s="61"/>
    </row>
    <row r="26" spans="2:14" x14ac:dyDescent="0.25">
      <c r="B26" s="57"/>
      <c r="C26" s="85">
        <v>59</v>
      </c>
      <c r="D26" s="85">
        <v>1</v>
      </c>
      <c r="E26" s="222" t="s">
        <v>103</v>
      </c>
      <c r="F26" s="140" t="s">
        <v>182</v>
      </c>
      <c r="G26" s="225" t="s">
        <v>63</v>
      </c>
      <c r="H26" s="87" t="s">
        <v>178</v>
      </c>
      <c r="I26" s="209">
        <v>341</v>
      </c>
      <c r="J26" s="142">
        <v>95.2</v>
      </c>
      <c r="K26" s="218">
        <v>96.1</v>
      </c>
      <c r="L26" s="211">
        <f t="shared" si="0"/>
        <v>191.3</v>
      </c>
      <c r="M26" s="88">
        <f t="shared" si="1"/>
        <v>0.56099706744868039</v>
      </c>
      <c r="N26" s="61"/>
    </row>
    <row r="27" spans="2:14" x14ac:dyDescent="0.25">
      <c r="B27" s="57"/>
      <c r="C27" s="107"/>
      <c r="D27" s="107">
        <f>+COUNT($D$24:$D$26)</f>
        <v>2</v>
      </c>
      <c r="E27" s="107"/>
      <c r="F27" s="227"/>
      <c r="G27" s="162"/>
      <c r="H27" s="91"/>
      <c r="I27" s="92">
        <f>SUM($I$24:$I$26)</f>
        <v>661</v>
      </c>
      <c r="J27" s="90">
        <f>SUM($J$24:$J$26)</f>
        <v>183.7</v>
      </c>
      <c r="K27" s="214">
        <f>SUM($K$24:$K$26)</f>
        <v>184.3</v>
      </c>
      <c r="L27" s="92">
        <f>SUM($L$24:$L$26)</f>
        <v>368</v>
      </c>
      <c r="M27" s="93">
        <f t="shared" si="1"/>
        <v>0.556732223903177</v>
      </c>
      <c r="N27" s="61"/>
    </row>
    <row r="28" spans="2:14" ht="16.5" thickBot="1" x14ac:dyDescent="0.3">
      <c r="B28" s="66"/>
      <c r="C28" s="67"/>
      <c r="D28" s="67"/>
      <c r="E28" s="67"/>
      <c r="F28" s="67"/>
      <c r="G28" s="67"/>
      <c r="H28" s="68"/>
      <c r="I28" s="67"/>
      <c r="J28" s="68"/>
      <c r="K28" s="67"/>
      <c r="L28" s="67"/>
      <c r="M28" s="67"/>
      <c r="N28" s="69"/>
    </row>
    <row r="29" spans="2:14" ht="17.25" thickTop="1" thickBot="1" x14ac:dyDescent="0.3">
      <c r="B29" s="54"/>
      <c r="C29" s="54"/>
      <c r="D29" s="54"/>
      <c r="E29" s="54"/>
      <c r="F29" s="54"/>
      <c r="G29" s="54"/>
      <c r="H29" s="55"/>
      <c r="I29" s="54"/>
      <c r="J29" s="55"/>
      <c r="K29" s="54"/>
      <c r="L29" s="54"/>
      <c r="M29" s="54"/>
      <c r="N29" s="54"/>
    </row>
    <row r="30" spans="2:14" ht="16.5" thickTop="1" x14ac:dyDescent="0.25">
      <c r="B30" s="53"/>
      <c r="C30" s="54"/>
      <c r="D30" s="54"/>
      <c r="E30" s="54"/>
      <c r="F30" s="54"/>
      <c r="G30" s="54"/>
      <c r="H30" s="55"/>
      <c r="I30" s="54"/>
      <c r="J30" s="55"/>
      <c r="K30" s="54"/>
      <c r="L30" s="54"/>
      <c r="M30" s="54"/>
      <c r="N30" s="56"/>
    </row>
    <row r="31" spans="2:14" ht="32.25" customHeight="1" x14ac:dyDescent="0.25">
      <c r="B31" s="57"/>
      <c r="D31" s="163" t="s">
        <v>83</v>
      </c>
      <c r="E31" s="164"/>
      <c r="F31" s="164"/>
      <c r="G31" s="164"/>
      <c r="H31" s="115" t="s">
        <v>84</v>
      </c>
      <c r="I31" s="116" t="s">
        <v>59</v>
      </c>
      <c r="J31" s="117" t="s">
        <v>85</v>
      </c>
      <c r="K31" s="118" t="s">
        <v>86</v>
      </c>
      <c r="N31" s="61"/>
    </row>
    <row r="32" spans="2:14" x14ac:dyDescent="0.25">
      <c r="B32" s="57"/>
      <c r="D32" s="155" t="s">
        <v>20</v>
      </c>
      <c r="E32" s="156"/>
      <c r="F32" s="156"/>
      <c r="G32" s="156"/>
      <c r="H32" s="119"/>
      <c r="J32" s="119"/>
      <c r="K32" s="120"/>
      <c r="N32" s="61"/>
    </row>
    <row r="33" spans="2:14" x14ac:dyDescent="0.25">
      <c r="B33" s="57"/>
      <c r="D33" s="155" t="s">
        <v>7</v>
      </c>
      <c r="E33" s="156"/>
      <c r="F33" s="156"/>
      <c r="G33" s="156"/>
      <c r="H33" s="119"/>
      <c r="J33" s="119"/>
      <c r="K33" s="120"/>
      <c r="N33" s="61"/>
    </row>
    <row r="34" spans="2:14" x14ac:dyDescent="0.25">
      <c r="B34" s="57"/>
      <c r="D34" s="155" t="s">
        <v>6</v>
      </c>
      <c r="E34" s="156"/>
      <c r="F34" s="156"/>
      <c r="G34" s="156"/>
      <c r="H34" s="119"/>
      <c r="J34" s="119"/>
      <c r="K34" s="120"/>
      <c r="N34" s="61"/>
    </row>
    <row r="35" spans="2:14" x14ac:dyDescent="0.25">
      <c r="B35" s="57"/>
      <c r="D35" s="155" t="s">
        <v>10</v>
      </c>
      <c r="E35" s="156"/>
      <c r="F35" s="156"/>
      <c r="G35" s="156"/>
      <c r="H35" s="119"/>
      <c r="J35" s="119"/>
      <c r="K35" s="120"/>
      <c r="N35" s="61"/>
    </row>
    <row r="36" spans="2:14" x14ac:dyDescent="0.25">
      <c r="B36" s="57"/>
      <c r="D36" s="155" t="s">
        <v>21</v>
      </c>
      <c r="E36" s="156"/>
      <c r="F36" s="156"/>
      <c r="G36" s="156"/>
      <c r="H36" s="119"/>
      <c r="J36" s="119"/>
      <c r="K36" s="120"/>
      <c r="N36" s="61"/>
    </row>
    <row r="37" spans="2:14" x14ac:dyDescent="0.25">
      <c r="B37" s="57"/>
      <c r="D37" s="155" t="s">
        <v>5</v>
      </c>
      <c r="E37" s="156"/>
      <c r="F37" s="156"/>
      <c r="G37" s="156"/>
      <c r="H37" s="119"/>
      <c r="J37" s="119"/>
      <c r="K37" s="120"/>
      <c r="N37" s="61"/>
    </row>
    <row r="38" spans="2:14" x14ac:dyDescent="0.25">
      <c r="B38" s="57"/>
      <c r="D38" s="155" t="s">
        <v>22</v>
      </c>
      <c r="E38" s="156"/>
      <c r="F38" s="156"/>
      <c r="G38" s="156"/>
      <c r="H38" s="119"/>
      <c r="J38" s="119"/>
      <c r="K38" s="120"/>
      <c r="N38" s="61"/>
    </row>
    <row r="39" spans="2:14" x14ac:dyDescent="0.25">
      <c r="B39" s="57"/>
      <c r="D39" s="155" t="s">
        <v>8</v>
      </c>
      <c r="E39" s="156"/>
      <c r="F39" s="156"/>
      <c r="G39" s="156"/>
      <c r="H39" s="119"/>
      <c r="J39" s="119"/>
      <c r="K39" s="120"/>
      <c r="N39" s="61"/>
    </row>
    <row r="40" spans="2:14" x14ac:dyDescent="0.25">
      <c r="B40" s="57"/>
      <c r="D40" s="155" t="s">
        <v>23</v>
      </c>
      <c r="E40" s="156"/>
      <c r="F40" s="156"/>
      <c r="G40" s="156"/>
      <c r="H40" s="119"/>
      <c r="J40" s="119"/>
      <c r="K40" s="120"/>
      <c r="N40" s="61"/>
    </row>
    <row r="41" spans="2:14" x14ac:dyDescent="0.25">
      <c r="B41" s="57"/>
      <c r="D41" s="155" t="s">
        <v>36</v>
      </c>
      <c r="E41" s="156"/>
      <c r="F41" s="156"/>
      <c r="G41" s="156"/>
      <c r="H41" s="119"/>
      <c r="J41" s="119"/>
      <c r="K41" s="120"/>
      <c r="N41" s="61"/>
    </row>
    <row r="42" spans="2:14" x14ac:dyDescent="0.25">
      <c r="B42" s="57"/>
      <c r="D42" s="155" t="s">
        <v>9</v>
      </c>
      <c r="E42" s="156"/>
      <c r="F42" s="156"/>
      <c r="G42" s="156"/>
      <c r="H42" s="119"/>
      <c r="J42" s="119"/>
      <c r="K42" s="120"/>
      <c r="N42" s="61"/>
    </row>
    <row r="43" spans="2:14" x14ac:dyDescent="0.25">
      <c r="B43" s="57"/>
      <c r="D43" s="155" t="s">
        <v>24</v>
      </c>
      <c r="E43" s="156"/>
      <c r="F43" s="156"/>
      <c r="G43" s="156"/>
      <c r="H43" s="119"/>
      <c r="J43" s="119"/>
      <c r="K43" s="120"/>
      <c r="N43" s="61"/>
    </row>
    <row r="44" spans="2:14" x14ac:dyDescent="0.25">
      <c r="B44" s="57"/>
      <c r="D44" s="155" t="s">
        <v>37</v>
      </c>
      <c r="E44" s="156"/>
      <c r="F44" s="156"/>
      <c r="G44" s="156"/>
      <c r="H44" s="119"/>
      <c r="J44" s="119"/>
      <c r="K44" s="120"/>
      <c r="N44" s="61"/>
    </row>
    <row r="45" spans="2:14" x14ac:dyDescent="0.25">
      <c r="B45" s="57"/>
      <c r="D45" s="157" t="s">
        <v>87</v>
      </c>
      <c r="E45" s="158"/>
      <c r="F45" s="158"/>
      <c r="G45" s="159"/>
      <c r="H45" s="121"/>
      <c r="I45" s="122">
        <f>SUM(I32:I44)</f>
        <v>0</v>
      </c>
      <c r="J45" s="123">
        <f>SUM(J32:J44)</f>
        <v>0</v>
      </c>
      <c r="K45" s="124">
        <f>SUM(K32:K44)</f>
        <v>0</v>
      </c>
      <c r="N45" s="61"/>
    </row>
    <row r="46" spans="2:14" ht="16.5" thickBot="1" x14ac:dyDescent="0.3">
      <c r="B46" s="66"/>
      <c r="C46" s="67"/>
      <c r="D46" s="67"/>
      <c r="E46" s="67"/>
      <c r="F46" s="67"/>
      <c r="G46" s="67"/>
      <c r="H46" s="68"/>
      <c r="I46" s="67"/>
      <c r="J46" s="68"/>
      <c r="K46" s="67"/>
      <c r="L46" s="67"/>
      <c r="M46" s="67"/>
      <c r="N46" s="69"/>
    </row>
    <row r="47" spans="2:14" ht="16.5" thickTop="1" x14ac:dyDescent="0.25">
      <c r="B47" s="57"/>
      <c r="G47" s="125"/>
      <c r="H47" s="126"/>
      <c r="I47" s="125"/>
      <c r="J47" s="126"/>
      <c r="N47" s="61"/>
    </row>
    <row r="48" spans="2:14" ht="15.75" customHeight="1" x14ac:dyDescent="0.25">
      <c r="B48" s="57"/>
      <c r="F48" s="160" t="s">
        <v>88</v>
      </c>
      <c r="G48" s="160"/>
      <c r="H48" s="127" t="s">
        <v>89</v>
      </c>
      <c r="I48" s="115" t="s">
        <v>77</v>
      </c>
      <c r="N48" s="61"/>
    </row>
    <row r="49" spans="2:14" x14ac:dyDescent="0.25">
      <c r="B49" s="57"/>
      <c r="F49" s="161" t="s">
        <v>35</v>
      </c>
      <c r="G49" s="161"/>
      <c r="H49" s="128"/>
      <c r="I49" s="129"/>
      <c r="N49" s="61"/>
    </row>
    <row r="50" spans="2:14" x14ac:dyDescent="0.25">
      <c r="B50" s="57"/>
      <c r="F50" s="152" t="s">
        <v>90</v>
      </c>
      <c r="G50" s="152"/>
      <c r="H50" s="130">
        <f>+D27</f>
        <v>2</v>
      </c>
      <c r="I50" s="131"/>
      <c r="N50" s="61"/>
    </row>
    <row r="51" spans="2:14" x14ac:dyDescent="0.25">
      <c r="B51" s="57"/>
      <c r="F51" s="152" t="s">
        <v>91</v>
      </c>
      <c r="G51" s="152"/>
      <c r="H51" s="132"/>
      <c r="I51" s="131"/>
      <c r="N51" s="61"/>
    </row>
    <row r="52" spans="2:14" x14ac:dyDescent="0.25">
      <c r="B52" s="57"/>
      <c r="F52" s="152" t="s">
        <v>92</v>
      </c>
      <c r="G52" s="152"/>
      <c r="H52" s="132"/>
      <c r="I52" s="131"/>
      <c r="N52" s="61"/>
    </row>
    <row r="53" spans="2:14" x14ac:dyDescent="0.25">
      <c r="B53" s="57"/>
      <c r="F53" s="153" t="s">
        <v>93</v>
      </c>
      <c r="G53" s="153"/>
      <c r="H53" s="133"/>
      <c r="I53" s="134"/>
      <c r="N53" s="61"/>
    </row>
    <row r="54" spans="2:14" x14ac:dyDescent="0.25">
      <c r="B54" s="57"/>
      <c r="F54" s="154" t="s">
        <v>87</v>
      </c>
      <c r="G54" s="154"/>
      <c r="H54" s="136"/>
      <c r="I54" s="121">
        <f>SUM(I49:I53)</f>
        <v>0</v>
      </c>
      <c r="N54" s="61"/>
    </row>
    <row r="55" spans="2:14" ht="16.5" thickBot="1" x14ac:dyDescent="0.3">
      <c r="B55" s="66"/>
      <c r="C55" s="67"/>
      <c r="D55" s="67"/>
      <c r="E55" s="67"/>
      <c r="F55" s="67"/>
      <c r="G55" s="67"/>
      <c r="H55" s="68"/>
      <c r="I55" s="67"/>
      <c r="J55" s="68"/>
      <c r="K55" s="67"/>
      <c r="L55" s="67"/>
      <c r="M55" s="67"/>
      <c r="N55" s="69"/>
    </row>
    <row r="56" spans="2:14" ht="16.5" thickTop="1" x14ac:dyDescent="0.25">
      <c r="I56" s="94"/>
    </row>
  </sheetData>
  <sortState ref="C25:I26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35:G35"/>
    <mergeCell ref="H23:H24"/>
    <mergeCell ref="I23:I24"/>
    <mergeCell ref="J23:J24"/>
    <mergeCell ref="K23:K24"/>
    <mergeCell ref="F27:G27"/>
    <mergeCell ref="D31:G31"/>
    <mergeCell ref="D32:G32"/>
    <mergeCell ref="D33:G33"/>
    <mergeCell ref="D34:G34"/>
    <mergeCell ref="F49:G49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5:G45"/>
    <mergeCell ref="F48:G48"/>
    <mergeCell ref="F50:G50"/>
    <mergeCell ref="F51:G51"/>
    <mergeCell ref="F52:G52"/>
    <mergeCell ref="F53:G53"/>
    <mergeCell ref="F54:G54"/>
  </mergeCells>
  <conditionalFormatting sqref="M25:M26">
    <cfRule type="cellIs" dxfId="2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69"/>
  <sheetViews>
    <sheetView topLeftCell="A30" zoomScaleNormal="100" workbookViewId="0">
      <selection activeCell="N41" sqref="B2:N41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+M40</f>
        <v>0.59157551020408172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+L40/D40</f>
        <v>241.56000000000003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94</v>
      </c>
      <c r="F8" s="187"/>
      <c r="G8" s="187"/>
      <c r="H8" s="188"/>
      <c r="I8" s="70" t="s">
        <v>54</v>
      </c>
      <c r="J8" s="174" t="s">
        <v>138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28012</v>
      </c>
      <c r="F9" s="187"/>
      <c r="G9" s="187"/>
      <c r="H9" s="188"/>
      <c r="I9" s="70" t="s">
        <v>56</v>
      </c>
      <c r="J9" s="110" t="s">
        <v>139</v>
      </c>
      <c r="K9" s="105" t="s">
        <v>57</v>
      </c>
      <c r="L9" s="181" t="s">
        <v>140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0.67708333333333337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198</v>
      </c>
      <c r="F15" s="186"/>
      <c r="H15" s="51"/>
      <c r="I15" s="73"/>
      <c r="J15" s="104" t="s">
        <v>61</v>
      </c>
      <c r="K15" s="106">
        <f>+COUNTIF($G$24:$G$40,"VQ")*2</f>
        <v>4</v>
      </c>
      <c r="L15" s="106">
        <f>+SUMIF($G$25:$G$39,"VQ",$L$25:$L$39)</f>
        <v>424.5</v>
      </c>
      <c r="N15" s="61"/>
    </row>
    <row r="16" spans="2:14" x14ac:dyDescent="0.25">
      <c r="B16" s="57"/>
      <c r="C16" s="173" t="s">
        <v>62</v>
      </c>
      <c r="D16" s="173"/>
      <c r="E16" s="181">
        <f>+D40</f>
        <v>15</v>
      </c>
      <c r="F16" s="181"/>
      <c r="H16" s="51"/>
      <c r="I16" s="73"/>
      <c r="J16" s="104" t="s">
        <v>63</v>
      </c>
      <c r="K16" s="106">
        <f>+COUNTIF($G$24:$G$40,"NT")*2</f>
        <v>24</v>
      </c>
      <c r="L16" s="106">
        <f>+SUMIF($G$25:$G$39,"NT",$L$25:$L$39)</f>
        <v>2937.2</v>
      </c>
      <c r="N16" s="61"/>
    </row>
    <row r="17" spans="2:14" x14ac:dyDescent="0.25">
      <c r="B17" s="57"/>
      <c r="C17" s="173" t="s">
        <v>64</v>
      </c>
      <c r="D17" s="173"/>
      <c r="E17" s="180">
        <f>+I40</f>
        <v>6125</v>
      </c>
      <c r="F17" s="181"/>
      <c r="H17" s="51"/>
      <c r="I17" s="73"/>
      <c r="J17" s="104" t="s">
        <v>65</v>
      </c>
      <c r="K17" s="106">
        <f>+COUNTIF($G$24:$G$40,"NO")*2</f>
        <v>0</v>
      </c>
      <c r="L17" s="106">
        <f>+SUMIF($G$25:$G$39,"NO",$L$25:$L$39)</f>
        <v>0</v>
      </c>
      <c r="N17" s="61"/>
    </row>
    <row r="18" spans="2:14" x14ac:dyDescent="0.25">
      <c r="B18" s="57"/>
      <c r="C18" s="173" t="s">
        <v>66</v>
      </c>
      <c r="D18" s="173"/>
      <c r="E18" s="180">
        <f>+L40</f>
        <v>3623.4000000000005</v>
      </c>
      <c r="F18" s="181"/>
      <c r="H18" s="51"/>
      <c r="I18" s="73"/>
      <c r="J18" s="104" t="s">
        <v>67</v>
      </c>
      <c r="K18" s="106">
        <f>+COUNTIF($G$24:$G$40,"TO")*2</f>
        <v>0</v>
      </c>
      <c r="L18" s="106">
        <f>+SUMIF($G$25:$G$39,"TO",$L$25:$L$39)</f>
        <v>0</v>
      </c>
      <c r="N18" s="61"/>
    </row>
    <row r="19" spans="2:14" x14ac:dyDescent="0.25">
      <c r="B19" s="57"/>
      <c r="C19" s="173" t="s">
        <v>68</v>
      </c>
      <c r="D19" s="173"/>
      <c r="E19" s="182">
        <f>+M40</f>
        <v>0.59157551020408172</v>
      </c>
      <c r="F19" s="181"/>
      <c r="G19" s="73"/>
      <c r="H19" s="114"/>
      <c r="I19" s="73"/>
      <c r="J19" s="104" t="s">
        <v>69</v>
      </c>
      <c r="K19" s="106">
        <f>+COUNTIF($G$24:$G$40,"VA")*2</f>
        <v>0</v>
      </c>
      <c r="L19" s="106">
        <f>+SUMIF($G$25:$G$39,"VA",$L$25:$L$39)</f>
        <v>0</v>
      </c>
      <c r="N19" s="61"/>
    </row>
    <row r="20" spans="2:14" x14ac:dyDescent="0.25">
      <c r="B20" s="57"/>
      <c r="C20" s="173" t="s">
        <v>70</v>
      </c>
      <c r="D20" s="173"/>
      <c r="E20" s="174">
        <f>+L40/D40</f>
        <v>241.56000000000003</v>
      </c>
      <c r="F20" s="174"/>
      <c r="G20" s="73"/>
      <c r="H20" s="114"/>
      <c r="I20" s="73"/>
      <c r="J20" s="104" t="s">
        <v>71</v>
      </c>
      <c r="K20" s="106">
        <f>+COUNTIF($G$24:$G$40,"MEJ")*2</f>
        <v>2</v>
      </c>
      <c r="L20" s="106">
        <f>+SUMIF($G$25:$G$39,"MEJ",$L$25:$L$39)</f>
        <v>261.7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1">
        <v>37</v>
      </c>
      <c r="D25" s="81">
        <v>1</v>
      </c>
      <c r="E25" s="229" t="s">
        <v>103</v>
      </c>
      <c r="F25" s="137" t="s">
        <v>182</v>
      </c>
      <c r="G25" s="224" t="s">
        <v>63</v>
      </c>
      <c r="H25" s="83" t="s">
        <v>141</v>
      </c>
      <c r="I25" s="208">
        <v>362</v>
      </c>
      <c r="J25" s="139">
        <v>109.3</v>
      </c>
      <c r="K25" s="215">
        <v>110.8</v>
      </c>
      <c r="L25" s="210">
        <f t="shared" ref="L25:L39" si="0">+J25+K25</f>
        <v>220.1</v>
      </c>
      <c r="M25" s="84">
        <f t="shared" ref="M25:M40" si="1">+L25/I25</f>
        <v>0.60801104972375686</v>
      </c>
      <c r="N25" s="61"/>
    </row>
    <row r="26" spans="2:14" x14ac:dyDescent="0.25">
      <c r="B26" s="57"/>
      <c r="C26" s="85">
        <v>38</v>
      </c>
      <c r="D26" s="85">
        <v>7</v>
      </c>
      <c r="E26" s="222" t="s">
        <v>109</v>
      </c>
      <c r="F26" s="230" t="s">
        <v>182</v>
      </c>
      <c r="G26" s="225" t="s">
        <v>63</v>
      </c>
      <c r="H26" s="87" t="s">
        <v>147</v>
      </c>
      <c r="I26" s="209">
        <v>419</v>
      </c>
      <c r="J26" s="219">
        <v>131.9</v>
      </c>
      <c r="K26" s="216">
        <v>132.4</v>
      </c>
      <c r="L26" s="211">
        <f t="shared" si="0"/>
        <v>264.3</v>
      </c>
      <c r="M26" s="88">
        <f t="shared" si="1"/>
        <v>0.63078758949880676</v>
      </c>
      <c r="N26" s="61"/>
    </row>
    <row r="27" spans="2:14" x14ac:dyDescent="0.25">
      <c r="B27" s="57"/>
      <c r="C27" s="85">
        <v>39</v>
      </c>
      <c r="D27" s="85">
        <v>3</v>
      </c>
      <c r="E27" s="222" t="s">
        <v>109</v>
      </c>
      <c r="F27" s="230" t="s">
        <v>182</v>
      </c>
      <c r="G27" s="225" t="s">
        <v>63</v>
      </c>
      <c r="H27" s="87" t="s">
        <v>143</v>
      </c>
      <c r="I27" s="209">
        <v>434</v>
      </c>
      <c r="J27" s="219">
        <v>131.1</v>
      </c>
      <c r="K27" s="216">
        <v>132.19999999999999</v>
      </c>
      <c r="L27" s="211">
        <f t="shared" si="0"/>
        <v>263.29999999999995</v>
      </c>
      <c r="M27" s="88">
        <f t="shared" si="1"/>
        <v>0.60668202764976953</v>
      </c>
      <c r="N27" s="61"/>
    </row>
    <row r="28" spans="2:14" x14ac:dyDescent="0.25">
      <c r="B28" s="57"/>
      <c r="C28" s="86">
        <v>40</v>
      </c>
      <c r="D28" s="86">
        <v>10</v>
      </c>
      <c r="E28" s="223" t="s">
        <v>108</v>
      </c>
      <c r="F28" s="230" t="s">
        <v>182</v>
      </c>
      <c r="G28" s="225" t="s">
        <v>63</v>
      </c>
      <c r="H28" s="87" t="s">
        <v>150</v>
      </c>
      <c r="I28" s="209">
        <v>412</v>
      </c>
      <c r="J28" s="219">
        <v>117</v>
      </c>
      <c r="K28" s="216">
        <v>117.3</v>
      </c>
      <c r="L28" s="211">
        <f t="shared" si="0"/>
        <v>234.3</v>
      </c>
      <c r="M28" s="88">
        <f t="shared" si="1"/>
        <v>0.56868932038834952</v>
      </c>
      <c r="N28" s="61"/>
    </row>
    <row r="29" spans="2:14" x14ac:dyDescent="0.25">
      <c r="B29" s="57"/>
      <c r="C29" s="85">
        <v>41</v>
      </c>
      <c r="D29" s="85">
        <v>5</v>
      </c>
      <c r="E29" s="222" t="s">
        <v>109</v>
      </c>
      <c r="F29" s="230" t="s">
        <v>181</v>
      </c>
      <c r="G29" s="225" t="s">
        <v>63</v>
      </c>
      <c r="H29" s="87" t="s">
        <v>145</v>
      </c>
      <c r="I29" s="209">
        <v>355</v>
      </c>
      <c r="J29" s="220">
        <v>99</v>
      </c>
      <c r="K29" s="217">
        <v>99.7</v>
      </c>
      <c r="L29" s="211">
        <f t="shared" si="0"/>
        <v>198.7</v>
      </c>
      <c r="M29" s="88">
        <f t="shared" si="1"/>
        <v>0.55971830985915494</v>
      </c>
      <c r="N29" s="61"/>
    </row>
    <row r="30" spans="2:14" x14ac:dyDescent="0.25">
      <c r="B30" s="57"/>
      <c r="C30" s="86">
        <v>42</v>
      </c>
      <c r="D30" s="86">
        <v>14</v>
      </c>
      <c r="E30" s="223" t="s">
        <v>109</v>
      </c>
      <c r="F30" s="230" t="s">
        <v>182</v>
      </c>
      <c r="G30" s="225" t="s">
        <v>63</v>
      </c>
      <c r="H30" s="87" t="s">
        <v>153</v>
      </c>
      <c r="I30" s="209">
        <v>455</v>
      </c>
      <c r="J30" s="220">
        <v>130.30000000000001</v>
      </c>
      <c r="K30" s="217">
        <v>127.9</v>
      </c>
      <c r="L30" s="211">
        <f t="shared" si="0"/>
        <v>258.20000000000005</v>
      </c>
      <c r="M30" s="88">
        <f t="shared" si="1"/>
        <v>0.56747252747252752</v>
      </c>
      <c r="N30" s="61"/>
    </row>
    <row r="31" spans="2:14" x14ac:dyDescent="0.25">
      <c r="B31" s="57"/>
      <c r="C31" s="85">
        <v>43</v>
      </c>
      <c r="D31" s="85">
        <v>2</v>
      </c>
      <c r="E31" s="222" t="s">
        <v>108</v>
      </c>
      <c r="F31" s="230" t="s">
        <v>180</v>
      </c>
      <c r="G31" s="225" t="s">
        <v>61</v>
      </c>
      <c r="H31" s="87" t="s">
        <v>142</v>
      </c>
      <c r="I31" s="209">
        <v>361</v>
      </c>
      <c r="J31" s="219">
        <v>107</v>
      </c>
      <c r="K31" s="216">
        <v>107.1</v>
      </c>
      <c r="L31" s="211">
        <f t="shared" si="0"/>
        <v>214.1</v>
      </c>
      <c r="M31" s="88">
        <f t="shared" si="1"/>
        <v>0.59307479224376725</v>
      </c>
      <c r="N31" s="61"/>
    </row>
    <row r="32" spans="2:14" x14ac:dyDescent="0.25">
      <c r="B32" s="57"/>
      <c r="C32" s="85">
        <v>44</v>
      </c>
      <c r="D32" s="85">
        <v>9</v>
      </c>
      <c r="E32" s="222" t="s">
        <v>103</v>
      </c>
      <c r="F32" s="230" t="s">
        <v>180</v>
      </c>
      <c r="G32" s="225" t="s">
        <v>63</v>
      </c>
      <c r="H32" s="87" t="s">
        <v>149</v>
      </c>
      <c r="I32" s="209">
        <v>371</v>
      </c>
      <c r="J32" s="219">
        <v>112.1</v>
      </c>
      <c r="K32" s="216">
        <v>112.2</v>
      </c>
      <c r="L32" s="211">
        <f t="shared" si="0"/>
        <v>224.3</v>
      </c>
      <c r="M32" s="88">
        <f t="shared" si="1"/>
        <v>0.60458221024258763</v>
      </c>
      <c r="N32" s="61"/>
    </row>
    <row r="33" spans="2:14" x14ac:dyDescent="0.25">
      <c r="B33" s="57"/>
      <c r="C33" s="85">
        <v>45</v>
      </c>
      <c r="D33" s="85">
        <v>13</v>
      </c>
      <c r="E33" s="222" t="s">
        <v>108</v>
      </c>
      <c r="F33" s="230" t="s">
        <v>182</v>
      </c>
      <c r="G33" s="225" t="s">
        <v>71</v>
      </c>
      <c r="H33" s="87">
        <v>8868</v>
      </c>
      <c r="I33" s="209">
        <v>439</v>
      </c>
      <c r="J33" s="219">
        <v>131.69999999999999</v>
      </c>
      <c r="K33" s="216">
        <v>130</v>
      </c>
      <c r="L33" s="211">
        <f t="shared" si="0"/>
        <v>261.7</v>
      </c>
      <c r="M33" s="88">
        <f t="shared" si="1"/>
        <v>0.59612756264236899</v>
      </c>
      <c r="N33" s="61"/>
    </row>
    <row r="34" spans="2:14" x14ac:dyDescent="0.25">
      <c r="B34" s="57"/>
      <c r="C34" s="85">
        <v>46</v>
      </c>
      <c r="D34" s="85">
        <v>8</v>
      </c>
      <c r="E34" s="222" t="s">
        <v>103</v>
      </c>
      <c r="F34" s="230" t="s">
        <v>182</v>
      </c>
      <c r="G34" s="225" t="s">
        <v>63</v>
      </c>
      <c r="H34" s="87" t="s">
        <v>148</v>
      </c>
      <c r="I34" s="209">
        <v>418</v>
      </c>
      <c r="J34" s="219">
        <v>118.9</v>
      </c>
      <c r="K34" s="216">
        <v>119.9</v>
      </c>
      <c r="L34" s="211">
        <f t="shared" si="0"/>
        <v>238.8</v>
      </c>
      <c r="M34" s="88">
        <f t="shared" si="1"/>
        <v>0.57129186602870818</v>
      </c>
      <c r="N34" s="61"/>
    </row>
    <row r="35" spans="2:14" x14ac:dyDescent="0.25">
      <c r="B35" s="57"/>
      <c r="C35" s="85">
        <v>47</v>
      </c>
      <c r="D35" s="85">
        <v>6</v>
      </c>
      <c r="E35" s="222" t="s">
        <v>108</v>
      </c>
      <c r="F35" s="230" t="s">
        <v>182</v>
      </c>
      <c r="G35" s="225" t="s">
        <v>63</v>
      </c>
      <c r="H35" s="87" t="s">
        <v>146</v>
      </c>
      <c r="I35" s="209">
        <v>378</v>
      </c>
      <c r="J35" s="219">
        <v>106.1</v>
      </c>
      <c r="K35" s="216">
        <v>108</v>
      </c>
      <c r="L35" s="211">
        <f t="shared" si="0"/>
        <v>214.1</v>
      </c>
      <c r="M35" s="88">
        <f t="shared" si="1"/>
        <v>0.56640211640211635</v>
      </c>
      <c r="N35" s="61"/>
    </row>
    <row r="36" spans="2:14" x14ac:dyDescent="0.25">
      <c r="B36" s="57"/>
      <c r="C36" s="85">
        <v>48</v>
      </c>
      <c r="D36" s="85">
        <v>15</v>
      </c>
      <c r="E36" s="222" t="s">
        <v>108</v>
      </c>
      <c r="F36" s="230" t="s">
        <v>182</v>
      </c>
      <c r="G36" s="225" t="s">
        <v>61</v>
      </c>
      <c r="H36" s="87" t="s">
        <v>154</v>
      </c>
      <c r="I36" s="209">
        <v>365</v>
      </c>
      <c r="J36" s="219">
        <v>104.9</v>
      </c>
      <c r="K36" s="216">
        <v>105.5</v>
      </c>
      <c r="L36" s="211">
        <f t="shared" si="0"/>
        <v>210.4</v>
      </c>
      <c r="M36" s="88">
        <f t="shared" si="1"/>
        <v>0.57643835616438355</v>
      </c>
      <c r="N36" s="61"/>
    </row>
    <row r="37" spans="2:14" x14ac:dyDescent="0.25">
      <c r="B37" s="57"/>
      <c r="C37" s="85">
        <v>49</v>
      </c>
      <c r="D37" s="85">
        <v>4</v>
      </c>
      <c r="E37" s="222" t="s">
        <v>103</v>
      </c>
      <c r="F37" s="230" t="s">
        <v>182</v>
      </c>
      <c r="G37" s="225" t="s">
        <v>63</v>
      </c>
      <c r="H37" s="87" t="s">
        <v>144</v>
      </c>
      <c r="I37" s="209">
        <v>394</v>
      </c>
      <c r="J37" s="219">
        <v>118.9</v>
      </c>
      <c r="K37" s="216">
        <v>119.5</v>
      </c>
      <c r="L37" s="211">
        <f t="shared" si="0"/>
        <v>238.4</v>
      </c>
      <c r="M37" s="88">
        <f t="shared" si="1"/>
        <v>0.60507614213197969</v>
      </c>
      <c r="N37" s="61"/>
    </row>
    <row r="38" spans="2:14" x14ac:dyDescent="0.25">
      <c r="B38" s="57"/>
      <c r="C38" s="85">
        <v>50</v>
      </c>
      <c r="D38" s="85">
        <v>12</v>
      </c>
      <c r="E38" s="222" t="s">
        <v>109</v>
      </c>
      <c r="F38" s="230" t="s">
        <v>182</v>
      </c>
      <c r="G38" s="225" t="s">
        <v>63</v>
      </c>
      <c r="H38" s="87" t="s">
        <v>152</v>
      </c>
      <c r="I38" s="209">
        <v>462</v>
      </c>
      <c r="J38" s="219">
        <v>136.9</v>
      </c>
      <c r="K38" s="216">
        <v>136</v>
      </c>
      <c r="L38" s="211">
        <f t="shared" si="0"/>
        <v>272.89999999999998</v>
      </c>
      <c r="M38" s="88">
        <f t="shared" si="1"/>
        <v>0.5906926406926406</v>
      </c>
      <c r="N38" s="61"/>
    </row>
    <row r="39" spans="2:14" x14ac:dyDescent="0.25">
      <c r="B39" s="57"/>
      <c r="C39" s="86">
        <v>51</v>
      </c>
      <c r="D39" s="86">
        <v>11</v>
      </c>
      <c r="E39" s="223" t="s">
        <v>109</v>
      </c>
      <c r="F39" s="140" t="s">
        <v>182</v>
      </c>
      <c r="G39" s="225" t="s">
        <v>63</v>
      </c>
      <c r="H39" s="87" t="s">
        <v>151</v>
      </c>
      <c r="I39" s="209">
        <v>500</v>
      </c>
      <c r="J39" s="142">
        <v>154.69999999999999</v>
      </c>
      <c r="K39" s="218">
        <v>155.1</v>
      </c>
      <c r="L39" s="211">
        <f t="shared" si="0"/>
        <v>309.79999999999995</v>
      </c>
      <c r="M39" s="89">
        <f t="shared" si="1"/>
        <v>0.61959999999999993</v>
      </c>
      <c r="N39" s="61"/>
    </row>
    <row r="40" spans="2:14" x14ac:dyDescent="0.25">
      <c r="B40" s="57"/>
      <c r="C40" s="107"/>
      <c r="D40" s="107">
        <f>+COUNT($D$24:$D$39)</f>
        <v>15</v>
      </c>
      <c r="E40" s="107"/>
      <c r="F40" s="227"/>
      <c r="G40" s="162"/>
      <c r="H40" s="91"/>
      <c r="I40" s="92">
        <f>SUM($I$24:$I$39)</f>
        <v>6125</v>
      </c>
      <c r="J40" s="90">
        <f>SUM($J$24:$J$39)</f>
        <v>1809.8000000000002</v>
      </c>
      <c r="K40" s="214">
        <f>SUM($K$24:$K$39)</f>
        <v>1813.6</v>
      </c>
      <c r="L40" s="92">
        <f>SUM($L$24:$L$39)</f>
        <v>3623.4000000000005</v>
      </c>
      <c r="M40" s="93">
        <f t="shared" si="1"/>
        <v>0.59157551020408172</v>
      </c>
      <c r="N40" s="61"/>
    </row>
    <row r="41" spans="2:14" ht="16.5" thickBot="1" x14ac:dyDescent="0.3">
      <c r="B41" s="66"/>
      <c r="C41" s="67"/>
      <c r="D41" s="67"/>
      <c r="E41" s="67"/>
      <c r="F41" s="67"/>
      <c r="G41" s="67"/>
      <c r="H41" s="68"/>
      <c r="I41" s="67"/>
      <c r="J41" s="68"/>
      <c r="K41" s="67"/>
      <c r="L41" s="67"/>
      <c r="M41" s="67"/>
      <c r="N41" s="69"/>
    </row>
    <row r="42" spans="2:14" ht="17.25" thickTop="1" thickBot="1" x14ac:dyDescent="0.3">
      <c r="B42" s="54"/>
      <c r="C42" s="54"/>
      <c r="D42" s="54"/>
      <c r="E42" s="54"/>
      <c r="F42" s="54"/>
      <c r="G42" s="54"/>
      <c r="H42" s="55"/>
      <c r="I42" s="54"/>
      <c r="J42" s="55"/>
      <c r="K42" s="54"/>
      <c r="L42" s="54"/>
      <c r="M42" s="54"/>
      <c r="N42" s="54"/>
    </row>
    <row r="43" spans="2:14" ht="16.5" thickTop="1" x14ac:dyDescent="0.25">
      <c r="B43" s="53"/>
      <c r="C43" s="54"/>
      <c r="D43" s="54"/>
      <c r="E43" s="54"/>
      <c r="F43" s="54"/>
      <c r="G43" s="54"/>
      <c r="H43" s="55"/>
      <c r="I43" s="54"/>
      <c r="J43" s="55"/>
      <c r="K43" s="54"/>
      <c r="L43" s="54"/>
      <c r="M43" s="54"/>
      <c r="N43" s="56"/>
    </row>
    <row r="44" spans="2:14" ht="32.25" customHeight="1" x14ac:dyDescent="0.25">
      <c r="B44" s="57"/>
      <c r="D44" s="163" t="s">
        <v>83</v>
      </c>
      <c r="E44" s="164"/>
      <c r="F44" s="164"/>
      <c r="G44" s="164"/>
      <c r="H44" s="115" t="s">
        <v>84</v>
      </c>
      <c r="I44" s="116" t="s">
        <v>59</v>
      </c>
      <c r="J44" s="117" t="s">
        <v>85</v>
      </c>
      <c r="K44" s="118" t="s">
        <v>86</v>
      </c>
      <c r="N44" s="61"/>
    </row>
    <row r="45" spans="2:14" x14ac:dyDescent="0.25">
      <c r="B45" s="57"/>
      <c r="D45" s="155" t="s">
        <v>20</v>
      </c>
      <c r="E45" s="156"/>
      <c r="F45" s="156"/>
      <c r="G45" s="156"/>
      <c r="H45" s="119"/>
      <c r="J45" s="119"/>
      <c r="K45" s="120"/>
      <c r="N45" s="61"/>
    </row>
    <row r="46" spans="2:14" x14ac:dyDescent="0.25">
      <c r="B46" s="57"/>
      <c r="D46" s="155" t="s">
        <v>7</v>
      </c>
      <c r="E46" s="156"/>
      <c r="F46" s="156"/>
      <c r="G46" s="156"/>
      <c r="H46" s="119"/>
      <c r="J46" s="119"/>
      <c r="K46" s="120"/>
      <c r="N46" s="61"/>
    </row>
    <row r="47" spans="2:14" x14ac:dyDescent="0.25">
      <c r="B47" s="57"/>
      <c r="D47" s="155" t="s">
        <v>6</v>
      </c>
      <c r="E47" s="156"/>
      <c r="F47" s="156"/>
      <c r="G47" s="156"/>
      <c r="H47" s="119"/>
      <c r="J47" s="119"/>
      <c r="K47" s="120"/>
      <c r="N47" s="61"/>
    </row>
    <row r="48" spans="2:14" x14ac:dyDescent="0.25">
      <c r="B48" s="57"/>
      <c r="D48" s="155" t="s">
        <v>10</v>
      </c>
      <c r="E48" s="156"/>
      <c r="F48" s="156"/>
      <c r="G48" s="156"/>
      <c r="H48" s="119"/>
      <c r="J48" s="119"/>
      <c r="K48" s="120"/>
      <c r="N48" s="61"/>
    </row>
    <row r="49" spans="2:14" x14ac:dyDescent="0.25">
      <c r="B49" s="57"/>
      <c r="D49" s="155" t="s">
        <v>21</v>
      </c>
      <c r="E49" s="156"/>
      <c r="F49" s="156"/>
      <c r="G49" s="156"/>
      <c r="H49" s="119"/>
      <c r="J49" s="119"/>
      <c r="K49" s="120"/>
      <c r="N49" s="61"/>
    </row>
    <row r="50" spans="2:14" x14ac:dyDescent="0.25">
      <c r="B50" s="57"/>
      <c r="D50" s="155" t="s">
        <v>5</v>
      </c>
      <c r="E50" s="156"/>
      <c r="F50" s="156"/>
      <c r="G50" s="156"/>
      <c r="H50" s="119"/>
      <c r="J50" s="119"/>
      <c r="K50" s="120"/>
      <c r="N50" s="61"/>
    </row>
    <row r="51" spans="2:14" x14ac:dyDescent="0.25">
      <c r="B51" s="57"/>
      <c r="D51" s="155" t="s">
        <v>22</v>
      </c>
      <c r="E51" s="156"/>
      <c r="F51" s="156"/>
      <c r="G51" s="156"/>
      <c r="H51" s="119"/>
      <c r="J51" s="119"/>
      <c r="K51" s="120"/>
      <c r="N51" s="61"/>
    </row>
    <row r="52" spans="2:14" x14ac:dyDescent="0.25">
      <c r="B52" s="57"/>
      <c r="D52" s="155" t="s">
        <v>8</v>
      </c>
      <c r="E52" s="156"/>
      <c r="F52" s="156"/>
      <c r="G52" s="156"/>
      <c r="H52" s="119"/>
      <c r="J52" s="119"/>
      <c r="K52" s="120"/>
      <c r="N52" s="61"/>
    </row>
    <row r="53" spans="2:14" x14ac:dyDescent="0.25">
      <c r="B53" s="57"/>
      <c r="D53" s="155" t="s">
        <v>23</v>
      </c>
      <c r="E53" s="156"/>
      <c r="F53" s="156"/>
      <c r="G53" s="156"/>
      <c r="H53" s="119"/>
      <c r="J53" s="119"/>
      <c r="K53" s="120"/>
      <c r="N53" s="61"/>
    </row>
    <row r="54" spans="2:14" x14ac:dyDescent="0.25">
      <c r="B54" s="57"/>
      <c r="D54" s="155" t="s">
        <v>36</v>
      </c>
      <c r="E54" s="156"/>
      <c r="F54" s="156"/>
      <c r="G54" s="156"/>
      <c r="H54" s="119"/>
      <c r="J54" s="119"/>
      <c r="K54" s="120"/>
      <c r="N54" s="61"/>
    </row>
    <row r="55" spans="2:14" x14ac:dyDescent="0.25">
      <c r="B55" s="57"/>
      <c r="D55" s="155" t="s">
        <v>9</v>
      </c>
      <c r="E55" s="156"/>
      <c r="F55" s="156"/>
      <c r="G55" s="156"/>
      <c r="H55" s="119"/>
      <c r="J55" s="119"/>
      <c r="K55" s="120"/>
      <c r="N55" s="61"/>
    </row>
    <row r="56" spans="2:14" x14ac:dyDescent="0.25">
      <c r="B56" s="57"/>
      <c r="D56" s="155" t="s">
        <v>24</v>
      </c>
      <c r="E56" s="156"/>
      <c r="F56" s="156"/>
      <c r="G56" s="156"/>
      <c r="H56" s="119"/>
      <c r="J56" s="119"/>
      <c r="K56" s="120"/>
      <c r="N56" s="61"/>
    </row>
    <row r="57" spans="2:14" x14ac:dyDescent="0.25">
      <c r="B57" s="57"/>
      <c r="D57" s="155" t="s">
        <v>37</v>
      </c>
      <c r="E57" s="156"/>
      <c r="F57" s="156"/>
      <c r="G57" s="156"/>
      <c r="H57" s="119"/>
      <c r="J57" s="119"/>
      <c r="K57" s="120"/>
      <c r="N57" s="61"/>
    </row>
    <row r="58" spans="2:14" x14ac:dyDescent="0.25">
      <c r="B58" s="57"/>
      <c r="D58" s="157" t="s">
        <v>87</v>
      </c>
      <c r="E58" s="158"/>
      <c r="F58" s="158"/>
      <c r="G58" s="159"/>
      <c r="H58" s="121"/>
      <c r="I58" s="122">
        <f>SUM(I45:I57)</f>
        <v>0</v>
      </c>
      <c r="J58" s="123">
        <f>SUM(J45:J57)</f>
        <v>0</v>
      </c>
      <c r="K58" s="124">
        <f>SUM(K45:K57)</f>
        <v>0</v>
      </c>
      <c r="N58" s="61"/>
    </row>
    <row r="59" spans="2:14" ht="16.5" thickBot="1" x14ac:dyDescent="0.3">
      <c r="B59" s="66"/>
      <c r="C59" s="67"/>
      <c r="D59" s="67"/>
      <c r="E59" s="67"/>
      <c r="F59" s="67"/>
      <c r="G59" s="67"/>
      <c r="H59" s="68"/>
      <c r="I59" s="67"/>
      <c r="J59" s="68"/>
      <c r="K59" s="67"/>
      <c r="L59" s="67"/>
      <c r="M59" s="67"/>
      <c r="N59" s="69"/>
    </row>
    <row r="60" spans="2:14" ht="16.5" thickTop="1" x14ac:dyDescent="0.25">
      <c r="B60" s="57"/>
      <c r="G60" s="125"/>
      <c r="H60" s="126"/>
      <c r="I60" s="125"/>
      <c r="J60" s="126"/>
      <c r="N60" s="61"/>
    </row>
    <row r="61" spans="2:14" ht="15.75" customHeight="1" x14ac:dyDescent="0.25">
      <c r="B61" s="57"/>
      <c r="F61" s="160" t="s">
        <v>88</v>
      </c>
      <c r="G61" s="160"/>
      <c r="H61" s="127" t="s">
        <v>89</v>
      </c>
      <c r="I61" s="115" t="s">
        <v>77</v>
      </c>
      <c r="N61" s="61"/>
    </row>
    <row r="62" spans="2:14" x14ac:dyDescent="0.25">
      <c r="B62" s="57"/>
      <c r="F62" s="161" t="s">
        <v>35</v>
      </c>
      <c r="G62" s="161"/>
      <c r="H62" s="128"/>
      <c r="I62" s="129"/>
      <c r="N62" s="61"/>
    </row>
    <row r="63" spans="2:14" x14ac:dyDescent="0.25">
      <c r="B63" s="57"/>
      <c r="F63" s="152" t="s">
        <v>90</v>
      </c>
      <c r="G63" s="152"/>
      <c r="H63" s="130">
        <f>+D40</f>
        <v>15</v>
      </c>
      <c r="I63" s="131"/>
      <c r="N63" s="61"/>
    </row>
    <row r="64" spans="2:14" x14ac:dyDescent="0.25">
      <c r="B64" s="57"/>
      <c r="F64" s="152" t="s">
        <v>91</v>
      </c>
      <c r="G64" s="152"/>
      <c r="H64" s="132"/>
      <c r="I64" s="131"/>
      <c r="N64" s="61"/>
    </row>
    <row r="65" spans="2:14" x14ac:dyDescent="0.25">
      <c r="B65" s="57"/>
      <c r="F65" s="152" t="s">
        <v>92</v>
      </c>
      <c r="G65" s="152"/>
      <c r="H65" s="132"/>
      <c r="I65" s="131"/>
      <c r="N65" s="61"/>
    </row>
    <row r="66" spans="2:14" x14ac:dyDescent="0.25">
      <c r="B66" s="57"/>
      <c r="F66" s="153" t="s">
        <v>93</v>
      </c>
      <c r="G66" s="153"/>
      <c r="H66" s="133"/>
      <c r="I66" s="134"/>
      <c r="N66" s="61"/>
    </row>
    <row r="67" spans="2:14" x14ac:dyDescent="0.25">
      <c r="B67" s="57"/>
      <c r="F67" s="154" t="s">
        <v>87</v>
      </c>
      <c r="G67" s="154"/>
      <c r="H67" s="136"/>
      <c r="I67" s="121">
        <f>SUM(I62:I66)</f>
        <v>0</v>
      </c>
      <c r="N67" s="61"/>
    </row>
    <row r="68" spans="2:14" ht="16.5" thickBot="1" x14ac:dyDescent="0.3">
      <c r="B68" s="66"/>
      <c r="C68" s="67"/>
      <c r="D68" s="67"/>
      <c r="E68" s="67"/>
      <c r="F68" s="67"/>
      <c r="G68" s="67"/>
      <c r="H68" s="68"/>
      <c r="I68" s="67"/>
      <c r="J68" s="68"/>
      <c r="K68" s="67"/>
      <c r="L68" s="67"/>
      <c r="M68" s="67"/>
      <c r="N68" s="69"/>
    </row>
    <row r="69" spans="2:14" ht="16.5" thickTop="1" x14ac:dyDescent="0.25">
      <c r="I69" s="94"/>
    </row>
  </sheetData>
  <sortState ref="C25:I39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48:G48"/>
    <mergeCell ref="H23:H24"/>
    <mergeCell ref="I23:I24"/>
    <mergeCell ref="J23:J24"/>
    <mergeCell ref="K23:K24"/>
    <mergeCell ref="F40:G40"/>
    <mergeCell ref="D44:G44"/>
    <mergeCell ref="D45:G45"/>
    <mergeCell ref="D46:G46"/>
    <mergeCell ref="D47:G47"/>
    <mergeCell ref="F62:G62"/>
    <mergeCell ref="D49:G49"/>
    <mergeCell ref="D50:G50"/>
    <mergeCell ref="D51:G51"/>
    <mergeCell ref="D52:G52"/>
    <mergeCell ref="D53:G53"/>
    <mergeCell ref="D54:G54"/>
    <mergeCell ref="D55:G55"/>
    <mergeCell ref="D56:G56"/>
    <mergeCell ref="D57:G57"/>
    <mergeCell ref="D58:G58"/>
    <mergeCell ref="F61:G61"/>
    <mergeCell ref="F63:G63"/>
    <mergeCell ref="F64:G64"/>
    <mergeCell ref="F65:G65"/>
    <mergeCell ref="F66:G66"/>
    <mergeCell ref="F67:G67"/>
  </mergeCells>
  <conditionalFormatting sqref="M25:M39">
    <cfRule type="cellIs" dxfId="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64"/>
  <sheetViews>
    <sheetView topLeftCell="A25" zoomScaleNormal="100" workbookViewId="0">
      <selection activeCell="N36" sqref="B2:N36"/>
    </sheetView>
  </sheetViews>
  <sheetFormatPr baseColWidth="10" defaultColWidth="12.42578125" defaultRowHeight="15.75" x14ac:dyDescent="0.25"/>
  <cols>
    <col min="1" max="1" width="4" style="51" customWidth="1"/>
    <col min="2" max="2" width="3.7109375" style="51" customWidth="1"/>
    <col min="3" max="3" width="9.5703125" style="51" customWidth="1"/>
    <col min="4" max="4" width="9.7109375" style="51" customWidth="1"/>
    <col min="5" max="5" width="6.42578125" style="51" customWidth="1"/>
    <col min="6" max="7" width="12.7109375" style="51" customWidth="1"/>
    <col min="8" max="8" width="17.42578125" style="52" customWidth="1"/>
    <col min="9" max="9" width="12.7109375" style="51" customWidth="1"/>
    <col min="10" max="10" width="14.42578125" style="52" bestFit="1" customWidth="1"/>
    <col min="11" max="12" width="12.7109375" style="51" customWidth="1"/>
    <col min="13" max="13" width="12.42578125" style="51"/>
    <col min="14" max="14" width="3.7109375" style="51" customWidth="1"/>
    <col min="15" max="16384" width="12.42578125" style="51"/>
  </cols>
  <sheetData>
    <row r="1" spans="2:14" ht="16.5" thickBot="1" x14ac:dyDescent="0.3"/>
    <row r="2" spans="2:14" ht="17.25" thickTop="1" thickBot="1" x14ac:dyDescent="0.3">
      <c r="B2" s="53"/>
      <c r="C2" s="54"/>
      <c r="D2" s="54"/>
      <c r="E2" s="54"/>
      <c r="F2" s="54"/>
      <c r="G2" s="54"/>
      <c r="H2" s="55"/>
      <c r="I2" s="54"/>
      <c r="J2" s="55"/>
      <c r="K2" s="54"/>
      <c r="L2" s="54"/>
      <c r="M2" s="54"/>
      <c r="N2" s="56"/>
    </row>
    <row r="3" spans="2:14" ht="17.25" thickTop="1" thickBot="1" x14ac:dyDescent="0.3">
      <c r="B3" s="57"/>
      <c r="G3" s="51" t="s">
        <v>50</v>
      </c>
      <c r="H3" s="51"/>
      <c r="J3" s="51"/>
      <c r="K3" s="59" t="s">
        <v>25</v>
      </c>
      <c r="L3" s="60">
        <f>+M35</f>
        <v>0.59292035398230081</v>
      </c>
      <c r="N3" s="61"/>
    </row>
    <row r="4" spans="2:14" ht="17.25" thickTop="1" thickBot="1" x14ac:dyDescent="0.3">
      <c r="B4" s="57"/>
      <c r="G4" s="52" t="s">
        <v>51</v>
      </c>
      <c r="K4" s="59" t="s">
        <v>26</v>
      </c>
      <c r="L4" s="63">
        <f>+L35/D35</f>
        <v>261.29999999999995</v>
      </c>
      <c r="N4" s="61"/>
    </row>
    <row r="5" spans="2:14" ht="16.5" thickTop="1" x14ac:dyDescent="0.25">
      <c r="B5" s="57"/>
      <c r="G5" s="52" t="s">
        <v>52</v>
      </c>
      <c r="K5" s="64"/>
      <c r="L5" s="65"/>
      <c r="N5" s="61"/>
    </row>
    <row r="6" spans="2:14" ht="16.5" thickBot="1" x14ac:dyDescent="0.3">
      <c r="B6" s="66"/>
      <c r="C6" s="67"/>
      <c r="D6" s="67"/>
      <c r="E6" s="67"/>
      <c r="F6" s="67"/>
      <c r="G6" s="67"/>
      <c r="H6" s="68"/>
      <c r="I6" s="67"/>
      <c r="J6" s="68"/>
      <c r="K6" s="67"/>
      <c r="L6" s="67"/>
      <c r="M6" s="67"/>
      <c r="N6" s="69"/>
    </row>
    <row r="7" spans="2:14" ht="8.1" customHeight="1" thickTop="1" x14ac:dyDescent="0.25">
      <c r="B7" s="53"/>
      <c r="C7" s="54"/>
      <c r="D7" s="54"/>
      <c r="E7" s="54"/>
      <c r="F7" s="54"/>
      <c r="G7" s="54"/>
      <c r="H7" s="55"/>
      <c r="I7" s="53"/>
      <c r="J7" s="55"/>
      <c r="K7" s="54"/>
      <c r="L7" s="54"/>
      <c r="M7" s="54"/>
      <c r="N7" s="56"/>
    </row>
    <row r="8" spans="2:14" x14ac:dyDescent="0.25">
      <c r="B8" s="57"/>
      <c r="C8" s="173" t="s">
        <v>53</v>
      </c>
      <c r="D8" s="173"/>
      <c r="E8" s="187" t="s">
        <v>97</v>
      </c>
      <c r="F8" s="187"/>
      <c r="G8" s="187"/>
      <c r="H8" s="188"/>
      <c r="I8" s="70" t="s">
        <v>54</v>
      </c>
      <c r="J8" s="174" t="s">
        <v>97</v>
      </c>
      <c r="K8" s="174"/>
      <c r="L8" s="174"/>
      <c r="M8" s="174"/>
      <c r="N8" s="61"/>
    </row>
    <row r="9" spans="2:14" x14ac:dyDescent="0.25">
      <c r="B9" s="57"/>
      <c r="C9" s="189" t="s">
        <v>55</v>
      </c>
      <c r="D9" s="189"/>
      <c r="E9" s="187">
        <v>65705</v>
      </c>
      <c r="F9" s="187"/>
      <c r="G9" s="187"/>
      <c r="H9" s="188"/>
      <c r="I9" s="70" t="s">
        <v>56</v>
      </c>
      <c r="J9" s="110" t="s">
        <v>155</v>
      </c>
      <c r="K9" s="105" t="s">
        <v>57</v>
      </c>
      <c r="L9" s="181" t="s">
        <v>156</v>
      </c>
      <c r="M9" s="181"/>
      <c r="N9" s="61"/>
    </row>
    <row r="10" spans="2:14" x14ac:dyDescent="0.25">
      <c r="B10" s="57"/>
      <c r="C10" s="111"/>
      <c r="D10" s="111"/>
      <c r="E10" s="112"/>
      <c r="F10" s="112"/>
      <c r="G10" s="112"/>
      <c r="H10" s="98"/>
      <c r="I10" s="70" t="s">
        <v>81</v>
      </c>
      <c r="J10" s="151">
        <v>46161</v>
      </c>
      <c r="K10" s="105" t="s">
        <v>82</v>
      </c>
      <c r="L10" s="183">
        <v>0.69444444444444453</v>
      </c>
      <c r="M10" s="184"/>
      <c r="N10" s="61"/>
    </row>
    <row r="11" spans="2:14" ht="8.1" customHeight="1" thickBot="1" x14ac:dyDescent="0.3">
      <c r="B11" s="66"/>
      <c r="C11" s="71"/>
      <c r="D11" s="71"/>
      <c r="E11" s="67"/>
      <c r="F11" s="67"/>
      <c r="G11" s="67"/>
      <c r="H11" s="68"/>
      <c r="I11" s="66"/>
      <c r="J11" s="68"/>
      <c r="K11" s="67"/>
      <c r="L11" s="67"/>
      <c r="M11" s="67"/>
      <c r="N11" s="69"/>
    </row>
    <row r="12" spans="2:14" ht="8.1" customHeight="1" thickTop="1" x14ac:dyDescent="0.25">
      <c r="B12" s="57"/>
      <c r="C12" s="72"/>
      <c r="D12" s="72"/>
      <c r="E12" s="58"/>
      <c r="F12" s="58"/>
      <c r="G12" s="58"/>
      <c r="H12" s="62"/>
      <c r="I12" s="58"/>
      <c r="J12" s="62"/>
      <c r="K12" s="58"/>
      <c r="L12" s="58"/>
      <c r="M12" s="58"/>
      <c r="N12" s="61"/>
    </row>
    <row r="13" spans="2:14" ht="8.1" customHeight="1" x14ac:dyDescent="0.25">
      <c r="B13" s="57"/>
      <c r="C13" s="113"/>
      <c r="D13" s="113"/>
      <c r="N13" s="61"/>
    </row>
    <row r="14" spans="2:14" x14ac:dyDescent="0.25">
      <c r="B14" s="57"/>
      <c r="D14" s="105" t="s">
        <v>74</v>
      </c>
      <c r="E14" s="185">
        <v>46162</v>
      </c>
      <c r="F14" s="185"/>
      <c r="H14" s="51"/>
      <c r="I14" s="73"/>
      <c r="J14" s="51"/>
      <c r="K14" s="104" t="s">
        <v>58</v>
      </c>
      <c r="L14" s="104" t="s">
        <v>59</v>
      </c>
      <c r="N14" s="61"/>
    </row>
    <row r="15" spans="2:14" x14ac:dyDescent="0.25">
      <c r="B15" s="57"/>
      <c r="C15" s="173" t="s">
        <v>60</v>
      </c>
      <c r="D15" s="173"/>
      <c r="E15" s="186">
        <v>199</v>
      </c>
      <c r="F15" s="186"/>
      <c r="H15" s="51"/>
      <c r="I15" s="73"/>
      <c r="J15" s="104" t="s">
        <v>61</v>
      </c>
      <c r="K15" s="106">
        <f>+COUNTIF($G$24:$G$35,"VQ")*2</f>
        <v>0</v>
      </c>
      <c r="L15" s="106">
        <f>+SUMIF($G$25:$G$34,"VQ",$L$25:$L$34)</f>
        <v>0</v>
      </c>
      <c r="N15" s="61"/>
    </row>
    <row r="16" spans="2:14" x14ac:dyDescent="0.25">
      <c r="B16" s="57"/>
      <c r="C16" s="173" t="s">
        <v>62</v>
      </c>
      <c r="D16" s="173"/>
      <c r="E16" s="181">
        <f>+D35</f>
        <v>10</v>
      </c>
      <c r="F16" s="181"/>
      <c r="H16" s="51"/>
      <c r="I16" s="73"/>
      <c r="J16" s="104" t="s">
        <v>63</v>
      </c>
      <c r="K16" s="106">
        <f>+COUNTIF($G$24:$G$35,"NT")*2</f>
        <v>0</v>
      </c>
      <c r="L16" s="106">
        <f>+SUMIF($G$25:$G$34,"NT",$L$25:$L$34)</f>
        <v>0</v>
      </c>
      <c r="N16" s="61"/>
    </row>
    <row r="17" spans="2:14" x14ac:dyDescent="0.25">
      <c r="B17" s="57"/>
      <c r="C17" s="173" t="s">
        <v>64</v>
      </c>
      <c r="D17" s="173"/>
      <c r="E17" s="180">
        <f>+I35</f>
        <v>4407</v>
      </c>
      <c r="F17" s="181"/>
      <c r="H17" s="51"/>
      <c r="I17" s="73"/>
      <c r="J17" s="104" t="s">
        <v>65</v>
      </c>
      <c r="K17" s="106">
        <f>+COUNTIF($G$24:$G$35,"NO")*2</f>
        <v>0</v>
      </c>
      <c r="L17" s="106">
        <f>+SUMIF($G$25:$G$34,"NO",$L$25:$L$34)</f>
        <v>0</v>
      </c>
      <c r="N17" s="61"/>
    </row>
    <row r="18" spans="2:14" x14ac:dyDescent="0.25">
      <c r="B18" s="57"/>
      <c r="C18" s="173" t="s">
        <v>66</v>
      </c>
      <c r="D18" s="173"/>
      <c r="E18" s="180">
        <f>+L35</f>
        <v>2612.9999999999995</v>
      </c>
      <c r="F18" s="181"/>
      <c r="H18" s="51"/>
      <c r="I18" s="73"/>
      <c r="J18" s="104" t="s">
        <v>67</v>
      </c>
      <c r="K18" s="106">
        <f>+COUNTIF($G$24:$G$35,"TO")*2</f>
        <v>0</v>
      </c>
      <c r="L18" s="106">
        <f>+SUMIF($G$25:$G$34,"TO",$L$25:$L$34)</f>
        <v>0</v>
      </c>
      <c r="N18" s="61"/>
    </row>
    <row r="19" spans="2:14" x14ac:dyDescent="0.25">
      <c r="B19" s="57"/>
      <c r="C19" s="173" t="s">
        <v>68</v>
      </c>
      <c r="D19" s="173"/>
      <c r="E19" s="182">
        <f>+M35</f>
        <v>0.59292035398230081</v>
      </c>
      <c r="F19" s="181"/>
      <c r="G19" s="73"/>
      <c r="H19" s="114"/>
      <c r="I19" s="73"/>
      <c r="J19" s="104" t="s">
        <v>69</v>
      </c>
      <c r="K19" s="106">
        <f>+COUNTIF($G$24:$G$35,"VA")*2</f>
        <v>4</v>
      </c>
      <c r="L19" s="106">
        <f>+SUMIF($G$25:$G$34,"VA",$L$25:$L$34)</f>
        <v>415.9</v>
      </c>
      <c r="N19" s="61"/>
    </row>
    <row r="20" spans="2:14" x14ac:dyDescent="0.25">
      <c r="B20" s="57"/>
      <c r="C20" s="173" t="s">
        <v>70</v>
      </c>
      <c r="D20" s="173"/>
      <c r="E20" s="174">
        <f>+L35/D35</f>
        <v>261.29999999999995</v>
      </c>
      <c r="F20" s="174"/>
      <c r="G20" s="73"/>
      <c r="H20" s="114"/>
      <c r="I20" s="73"/>
      <c r="J20" s="104" t="s">
        <v>71</v>
      </c>
      <c r="K20" s="106">
        <f>+COUNTIF($G$24:$G$35,"MEJ")*2</f>
        <v>16</v>
      </c>
      <c r="L20" s="106">
        <f>+SUMIF($G$25:$G$34,"MEJ",$L$25:$L$34)</f>
        <v>2197.1</v>
      </c>
      <c r="N20" s="61"/>
    </row>
    <row r="21" spans="2:14" ht="9.9499999999999993" customHeight="1" thickBot="1" x14ac:dyDescent="0.3">
      <c r="B21" s="66"/>
      <c r="C21" s="74"/>
      <c r="D21" s="74"/>
      <c r="E21" s="67"/>
      <c r="F21" s="67"/>
      <c r="G21" s="75"/>
      <c r="H21" s="76"/>
      <c r="I21" s="75"/>
      <c r="J21" s="67"/>
      <c r="K21" s="67"/>
      <c r="L21" s="67"/>
      <c r="M21" s="67"/>
      <c r="N21" s="69"/>
    </row>
    <row r="22" spans="2:14" ht="9.9499999999999993" customHeight="1" thickTop="1" x14ac:dyDescent="0.25">
      <c r="B22" s="57"/>
      <c r="N22" s="61"/>
    </row>
    <row r="23" spans="2:14" s="79" customFormat="1" ht="26.25" customHeight="1" x14ac:dyDescent="0.25">
      <c r="B23" s="77"/>
      <c r="C23" s="175" t="s">
        <v>27</v>
      </c>
      <c r="D23" s="175" t="s">
        <v>28</v>
      </c>
      <c r="E23" s="169" t="s">
        <v>49</v>
      </c>
      <c r="F23" s="178" t="s">
        <v>29</v>
      </c>
      <c r="G23" s="179"/>
      <c r="H23" s="165" t="s">
        <v>30</v>
      </c>
      <c r="I23" s="167" t="s">
        <v>31</v>
      </c>
      <c r="J23" s="167" t="s">
        <v>2</v>
      </c>
      <c r="K23" s="169" t="s">
        <v>3</v>
      </c>
      <c r="L23" s="167" t="s">
        <v>32</v>
      </c>
      <c r="M23" s="171" t="s">
        <v>33</v>
      </c>
      <c r="N23" s="78"/>
    </row>
    <row r="24" spans="2:14" x14ac:dyDescent="0.25">
      <c r="B24" s="57"/>
      <c r="C24" s="176"/>
      <c r="D24" s="177"/>
      <c r="E24" s="170"/>
      <c r="F24" s="226" t="s">
        <v>72</v>
      </c>
      <c r="G24" s="80" t="s">
        <v>73</v>
      </c>
      <c r="H24" s="166"/>
      <c r="I24" s="168"/>
      <c r="J24" s="212"/>
      <c r="K24" s="213"/>
      <c r="L24" s="168"/>
      <c r="M24" s="172"/>
      <c r="N24" s="61"/>
    </row>
    <row r="25" spans="2:14" x14ac:dyDescent="0.25">
      <c r="B25" s="57"/>
      <c r="C25" s="81">
        <v>17</v>
      </c>
      <c r="D25" s="81">
        <v>1</v>
      </c>
      <c r="E25" s="229" t="s">
        <v>108</v>
      </c>
      <c r="F25" s="138" t="s">
        <v>181</v>
      </c>
      <c r="G25" s="224" t="s">
        <v>71</v>
      </c>
      <c r="H25" s="83" t="s">
        <v>157</v>
      </c>
      <c r="I25" s="208">
        <v>476</v>
      </c>
      <c r="J25" s="139">
        <v>141.4</v>
      </c>
      <c r="K25" s="215">
        <v>141.30000000000001</v>
      </c>
      <c r="L25" s="210">
        <f t="shared" ref="L25:L34" si="0">+J25+K25</f>
        <v>282.70000000000005</v>
      </c>
      <c r="M25" s="84">
        <f t="shared" ref="M25:M35" si="1">+L25/I25</f>
        <v>0.59390756302521019</v>
      </c>
      <c r="N25" s="61"/>
    </row>
    <row r="26" spans="2:14" x14ac:dyDescent="0.25">
      <c r="B26" s="57"/>
      <c r="C26" s="85">
        <v>18</v>
      </c>
      <c r="D26" s="85">
        <v>8</v>
      </c>
      <c r="E26" s="222" t="s">
        <v>103</v>
      </c>
      <c r="F26" s="228" t="s">
        <v>183</v>
      </c>
      <c r="G26" s="225" t="s">
        <v>71</v>
      </c>
      <c r="H26" s="87" t="s">
        <v>164</v>
      </c>
      <c r="I26" s="209">
        <v>387</v>
      </c>
      <c r="J26" s="219">
        <v>116.2</v>
      </c>
      <c r="K26" s="216">
        <v>116.2</v>
      </c>
      <c r="L26" s="211">
        <f t="shared" si="0"/>
        <v>232.4</v>
      </c>
      <c r="M26" s="88">
        <f t="shared" si="1"/>
        <v>0.60051679586563311</v>
      </c>
      <c r="N26" s="61"/>
    </row>
    <row r="27" spans="2:14" x14ac:dyDescent="0.25">
      <c r="B27" s="57"/>
      <c r="C27" s="86">
        <v>19</v>
      </c>
      <c r="D27" s="86">
        <v>10</v>
      </c>
      <c r="E27" s="223" t="s">
        <v>103</v>
      </c>
      <c r="F27" s="228" t="s">
        <v>181</v>
      </c>
      <c r="G27" s="225" t="s">
        <v>71</v>
      </c>
      <c r="H27" s="87" t="s">
        <v>166</v>
      </c>
      <c r="I27" s="209">
        <v>443</v>
      </c>
      <c r="J27" s="219">
        <v>133.4</v>
      </c>
      <c r="K27" s="216">
        <v>134.30000000000001</v>
      </c>
      <c r="L27" s="211">
        <f t="shared" si="0"/>
        <v>267.70000000000005</v>
      </c>
      <c r="M27" s="88">
        <f t="shared" si="1"/>
        <v>0.60428893905191883</v>
      </c>
      <c r="N27" s="61"/>
    </row>
    <row r="28" spans="2:14" x14ac:dyDescent="0.25">
      <c r="B28" s="57"/>
      <c r="C28" s="85">
        <v>20</v>
      </c>
      <c r="D28" s="85">
        <v>2</v>
      </c>
      <c r="E28" s="222" t="s">
        <v>109</v>
      </c>
      <c r="F28" s="228" t="s">
        <v>181</v>
      </c>
      <c r="G28" s="225" t="s">
        <v>71</v>
      </c>
      <c r="H28" s="87" t="s">
        <v>158</v>
      </c>
      <c r="I28" s="209">
        <v>486</v>
      </c>
      <c r="J28" s="219">
        <v>142.19999999999999</v>
      </c>
      <c r="K28" s="216">
        <v>145.6</v>
      </c>
      <c r="L28" s="211">
        <f t="shared" si="0"/>
        <v>287.79999999999995</v>
      </c>
      <c r="M28" s="88">
        <f t="shared" si="1"/>
        <v>0.59218106995884767</v>
      </c>
      <c r="N28" s="61"/>
    </row>
    <row r="29" spans="2:14" x14ac:dyDescent="0.25">
      <c r="B29" s="57"/>
      <c r="C29" s="85">
        <v>21</v>
      </c>
      <c r="D29" s="85">
        <v>3</v>
      </c>
      <c r="E29" s="222" t="s">
        <v>103</v>
      </c>
      <c r="F29" s="228" t="s">
        <v>183</v>
      </c>
      <c r="G29" s="225" t="s">
        <v>69</v>
      </c>
      <c r="H29" s="87" t="s">
        <v>159</v>
      </c>
      <c r="I29" s="209">
        <v>366</v>
      </c>
      <c r="J29" s="219">
        <v>106.2</v>
      </c>
      <c r="K29" s="216">
        <v>106.1</v>
      </c>
      <c r="L29" s="211">
        <f t="shared" si="0"/>
        <v>212.3</v>
      </c>
      <c r="M29" s="88">
        <f t="shared" si="1"/>
        <v>0.58005464480874325</v>
      </c>
      <c r="N29" s="61"/>
    </row>
    <row r="30" spans="2:14" x14ac:dyDescent="0.25">
      <c r="B30" s="57"/>
      <c r="C30" s="85">
        <v>22</v>
      </c>
      <c r="D30" s="85">
        <v>7</v>
      </c>
      <c r="E30" s="222" t="s">
        <v>103</v>
      </c>
      <c r="F30" s="228" t="s">
        <v>181</v>
      </c>
      <c r="G30" s="225" t="s">
        <v>69</v>
      </c>
      <c r="H30" s="87" t="s">
        <v>163</v>
      </c>
      <c r="I30" s="209">
        <v>354</v>
      </c>
      <c r="J30" s="219">
        <v>101</v>
      </c>
      <c r="K30" s="216">
        <v>102.6</v>
      </c>
      <c r="L30" s="211">
        <f t="shared" si="0"/>
        <v>203.6</v>
      </c>
      <c r="M30" s="88">
        <f t="shared" si="1"/>
        <v>0.57514124293785307</v>
      </c>
      <c r="N30" s="61"/>
    </row>
    <row r="31" spans="2:14" x14ac:dyDescent="0.25">
      <c r="B31" s="57"/>
      <c r="C31" s="85">
        <v>23</v>
      </c>
      <c r="D31" s="85">
        <v>9</v>
      </c>
      <c r="E31" s="222" t="s">
        <v>109</v>
      </c>
      <c r="F31" s="228" t="s">
        <v>181</v>
      </c>
      <c r="G31" s="225" t="s">
        <v>71</v>
      </c>
      <c r="H31" s="87" t="s">
        <v>165</v>
      </c>
      <c r="I31" s="209">
        <v>544</v>
      </c>
      <c r="J31" s="219">
        <v>162.19999999999999</v>
      </c>
      <c r="K31" s="216">
        <v>163.4</v>
      </c>
      <c r="L31" s="211">
        <f t="shared" si="0"/>
        <v>325.60000000000002</v>
      </c>
      <c r="M31" s="88">
        <f t="shared" si="1"/>
        <v>0.59852941176470598</v>
      </c>
      <c r="N31" s="61"/>
    </row>
    <row r="32" spans="2:14" x14ac:dyDescent="0.25">
      <c r="B32" s="57"/>
      <c r="C32" s="85">
        <v>24</v>
      </c>
      <c r="D32" s="85">
        <v>6</v>
      </c>
      <c r="E32" s="222" t="s">
        <v>103</v>
      </c>
      <c r="F32" s="228" t="s">
        <v>181</v>
      </c>
      <c r="G32" s="225" t="s">
        <v>71</v>
      </c>
      <c r="H32" s="87" t="s">
        <v>162</v>
      </c>
      <c r="I32" s="209">
        <v>414</v>
      </c>
      <c r="J32" s="219">
        <v>123.8</v>
      </c>
      <c r="K32" s="216">
        <v>122.7</v>
      </c>
      <c r="L32" s="211">
        <f t="shared" si="0"/>
        <v>246.5</v>
      </c>
      <c r="M32" s="88">
        <f t="shared" si="1"/>
        <v>0.59541062801932365</v>
      </c>
      <c r="N32" s="61"/>
    </row>
    <row r="33" spans="2:14" x14ac:dyDescent="0.25">
      <c r="B33" s="57"/>
      <c r="C33" s="85">
        <v>25</v>
      </c>
      <c r="D33" s="85">
        <v>4</v>
      </c>
      <c r="E33" s="222" t="s">
        <v>109</v>
      </c>
      <c r="F33" s="228" t="s">
        <v>181</v>
      </c>
      <c r="G33" s="225" t="s">
        <v>71</v>
      </c>
      <c r="H33" s="87" t="s">
        <v>160</v>
      </c>
      <c r="I33" s="209">
        <v>460</v>
      </c>
      <c r="J33" s="219">
        <v>140.1</v>
      </c>
      <c r="K33" s="216">
        <v>139.19999999999999</v>
      </c>
      <c r="L33" s="211">
        <f t="shared" si="0"/>
        <v>279.29999999999995</v>
      </c>
      <c r="M33" s="88">
        <f t="shared" si="1"/>
        <v>0.60717391304347812</v>
      </c>
      <c r="N33" s="61"/>
    </row>
    <row r="34" spans="2:14" x14ac:dyDescent="0.25">
      <c r="B34" s="57"/>
      <c r="C34" s="85">
        <v>26</v>
      </c>
      <c r="D34" s="85">
        <v>5</v>
      </c>
      <c r="E34" s="222" t="s">
        <v>103</v>
      </c>
      <c r="F34" s="141" t="s">
        <v>181</v>
      </c>
      <c r="G34" s="225" t="s">
        <v>71</v>
      </c>
      <c r="H34" s="87" t="s">
        <v>161</v>
      </c>
      <c r="I34" s="209">
        <v>477</v>
      </c>
      <c r="J34" s="142">
        <v>137.9</v>
      </c>
      <c r="K34" s="218">
        <v>137.19999999999999</v>
      </c>
      <c r="L34" s="211">
        <f t="shared" si="0"/>
        <v>275.10000000000002</v>
      </c>
      <c r="M34" s="88">
        <f t="shared" si="1"/>
        <v>0.57672955974842777</v>
      </c>
      <c r="N34" s="61"/>
    </row>
    <row r="35" spans="2:14" x14ac:dyDescent="0.25">
      <c r="B35" s="57"/>
      <c r="C35" s="107"/>
      <c r="D35" s="107">
        <f>+COUNT($D$24:$D$34)</f>
        <v>10</v>
      </c>
      <c r="E35" s="107"/>
      <c r="F35" s="227"/>
      <c r="G35" s="162"/>
      <c r="H35" s="91"/>
      <c r="I35" s="92">
        <f>SUM($I$24:$I$34)</f>
        <v>4407</v>
      </c>
      <c r="J35" s="90">
        <f>SUM($J$24:$J$34)</f>
        <v>1304.4000000000001</v>
      </c>
      <c r="K35" s="214">
        <f>SUM($K$24:$K$34)</f>
        <v>1308.6000000000001</v>
      </c>
      <c r="L35" s="92">
        <f>SUM($L$24:$L$34)</f>
        <v>2612.9999999999995</v>
      </c>
      <c r="M35" s="93">
        <f t="shared" si="1"/>
        <v>0.59292035398230081</v>
      </c>
      <c r="N35" s="61"/>
    </row>
    <row r="36" spans="2:14" ht="16.5" thickBot="1" x14ac:dyDescent="0.3">
      <c r="B36" s="66"/>
      <c r="C36" s="67"/>
      <c r="D36" s="67"/>
      <c r="E36" s="67"/>
      <c r="F36" s="67"/>
      <c r="G36" s="67"/>
      <c r="H36" s="68"/>
      <c r="I36" s="67"/>
      <c r="J36" s="68"/>
      <c r="K36" s="67"/>
      <c r="L36" s="67"/>
      <c r="M36" s="67"/>
      <c r="N36" s="69"/>
    </row>
    <row r="37" spans="2:14" ht="17.25" thickTop="1" thickBot="1" x14ac:dyDescent="0.3">
      <c r="B37" s="54"/>
      <c r="C37" s="54"/>
      <c r="D37" s="54"/>
      <c r="E37" s="54"/>
      <c r="F37" s="54"/>
      <c r="G37" s="54"/>
      <c r="H37" s="55"/>
      <c r="I37" s="54"/>
      <c r="J37" s="55"/>
      <c r="K37" s="54"/>
      <c r="L37" s="54"/>
      <c r="M37" s="54"/>
      <c r="N37" s="54"/>
    </row>
    <row r="38" spans="2:14" ht="16.5" thickTop="1" x14ac:dyDescent="0.25">
      <c r="B38" s="53"/>
      <c r="C38" s="54"/>
      <c r="D38" s="54"/>
      <c r="E38" s="54"/>
      <c r="F38" s="54"/>
      <c r="G38" s="54"/>
      <c r="H38" s="55"/>
      <c r="I38" s="54"/>
      <c r="J38" s="55"/>
      <c r="K38" s="54"/>
      <c r="L38" s="54"/>
      <c r="M38" s="54"/>
      <c r="N38" s="56"/>
    </row>
    <row r="39" spans="2:14" ht="32.25" customHeight="1" x14ac:dyDescent="0.25">
      <c r="B39" s="57"/>
      <c r="D39" s="163" t="s">
        <v>83</v>
      </c>
      <c r="E39" s="164"/>
      <c r="F39" s="164"/>
      <c r="G39" s="164"/>
      <c r="H39" s="115" t="s">
        <v>84</v>
      </c>
      <c r="I39" s="116" t="s">
        <v>59</v>
      </c>
      <c r="J39" s="117" t="s">
        <v>85</v>
      </c>
      <c r="K39" s="118" t="s">
        <v>86</v>
      </c>
      <c r="N39" s="61"/>
    </row>
    <row r="40" spans="2:14" x14ac:dyDescent="0.25">
      <c r="B40" s="57"/>
      <c r="D40" s="155" t="s">
        <v>20</v>
      </c>
      <c r="E40" s="156"/>
      <c r="F40" s="156"/>
      <c r="G40" s="156"/>
      <c r="H40" s="119"/>
      <c r="J40" s="119"/>
      <c r="K40" s="120"/>
      <c r="N40" s="61"/>
    </row>
    <row r="41" spans="2:14" x14ac:dyDescent="0.25">
      <c r="B41" s="57"/>
      <c r="D41" s="155" t="s">
        <v>7</v>
      </c>
      <c r="E41" s="156"/>
      <c r="F41" s="156"/>
      <c r="G41" s="156"/>
      <c r="H41" s="119"/>
      <c r="J41" s="119"/>
      <c r="K41" s="120"/>
      <c r="N41" s="61"/>
    </row>
    <row r="42" spans="2:14" x14ac:dyDescent="0.25">
      <c r="B42" s="57"/>
      <c r="D42" s="155" t="s">
        <v>6</v>
      </c>
      <c r="E42" s="156"/>
      <c r="F42" s="156"/>
      <c r="G42" s="156"/>
      <c r="H42" s="119"/>
      <c r="J42" s="119"/>
      <c r="K42" s="120"/>
      <c r="N42" s="61"/>
    </row>
    <row r="43" spans="2:14" x14ac:dyDescent="0.25">
      <c r="B43" s="57"/>
      <c r="D43" s="155" t="s">
        <v>10</v>
      </c>
      <c r="E43" s="156"/>
      <c r="F43" s="156"/>
      <c r="G43" s="156"/>
      <c r="H43" s="119"/>
      <c r="J43" s="119"/>
      <c r="K43" s="120"/>
      <c r="N43" s="61"/>
    </row>
    <row r="44" spans="2:14" x14ac:dyDescent="0.25">
      <c r="B44" s="57"/>
      <c r="D44" s="155" t="s">
        <v>21</v>
      </c>
      <c r="E44" s="156"/>
      <c r="F44" s="156"/>
      <c r="G44" s="156"/>
      <c r="H44" s="119"/>
      <c r="J44" s="119"/>
      <c r="K44" s="120"/>
      <c r="N44" s="61"/>
    </row>
    <row r="45" spans="2:14" x14ac:dyDescent="0.25">
      <c r="B45" s="57"/>
      <c r="D45" s="155" t="s">
        <v>5</v>
      </c>
      <c r="E45" s="156"/>
      <c r="F45" s="156"/>
      <c r="G45" s="156"/>
      <c r="H45" s="119"/>
      <c r="J45" s="119"/>
      <c r="K45" s="120"/>
      <c r="N45" s="61"/>
    </row>
    <row r="46" spans="2:14" x14ac:dyDescent="0.25">
      <c r="B46" s="57"/>
      <c r="D46" s="155" t="s">
        <v>22</v>
      </c>
      <c r="E46" s="156"/>
      <c r="F46" s="156"/>
      <c r="G46" s="156"/>
      <c r="H46" s="119"/>
      <c r="J46" s="119"/>
      <c r="K46" s="120"/>
      <c r="N46" s="61"/>
    </row>
    <row r="47" spans="2:14" x14ac:dyDescent="0.25">
      <c r="B47" s="57"/>
      <c r="D47" s="155" t="s">
        <v>8</v>
      </c>
      <c r="E47" s="156"/>
      <c r="F47" s="156"/>
      <c r="G47" s="156"/>
      <c r="H47" s="119"/>
      <c r="J47" s="119"/>
      <c r="K47" s="120"/>
      <c r="N47" s="61"/>
    </row>
    <row r="48" spans="2:14" x14ac:dyDescent="0.25">
      <c r="B48" s="57"/>
      <c r="D48" s="155" t="s">
        <v>23</v>
      </c>
      <c r="E48" s="156"/>
      <c r="F48" s="156"/>
      <c r="G48" s="156"/>
      <c r="H48" s="119"/>
      <c r="J48" s="119"/>
      <c r="K48" s="120"/>
      <c r="N48" s="61"/>
    </row>
    <row r="49" spans="2:14" x14ac:dyDescent="0.25">
      <c r="B49" s="57"/>
      <c r="D49" s="155" t="s">
        <v>36</v>
      </c>
      <c r="E49" s="156"/>
      <c r="F49" s="156"/>
      <c r="G49" s="156"/>
      <c r="H49" s="119"/>
      <c r="J49" s="119"/>
      <c r="K49" s="120"/>
      <c r="N49" s="61"/>
    </row>
    <row r="50" spans="2:14" x14ac:dyDescent="0.25">
      <c r="B50" s="57"/>
      <c r="D50" s="155" t="s">
        <v>9</v>
      </c>
      <c r="E50" s="156"/>
      <c r="F50" s="156"/>
      <c r="G50" s="156"/>
      <c r="H50" s="119"/>
      <c r="J50" s="119"/>
      <c r="K50" s="120"/>
      <c r="N50" s="61"/>
    </row>
    <row r="51" spans="2:14" x14ac:dyDescent="0.25">
      <c r="B51" s="57"/>
      <c r="D51" s="155" t="s">
        <v>24</v>
      </c>
      <c r="E51" s="156"/>
      <c r="F51" s="156"/>
      <c r="G51" s="156"/>
      <c r="H51" s="119"/>
      <c r="J51" s="119"/>
      <c r="K51" s="120"/>
      <c r="N51" s="61"/>
    </row>
    <row r="52" spans="2:14" x14ac:dyDescent="0.25">
      <c r="B52" s="57"/>
      <c r="D52" s="155" t="s">
        <v>37</v>
      </c>
      <c r="E52" s="156"/>
      <c r="F52" s="156"/>
      <c r="G52" s="156"/>
      <c r="H52" s="119"/>
      <c r="J52" s="119"/>
      <c r="K52" s="120"/>
      <c r="N52" s="61"/>
    </row>
    <row r="53" spans="2:14" x14ac:dyDescent="0.25">
      <c r="B53" s="57"/>
      <c r="D53" s="157" t="s">
        <v>87</v>
      </c>
      <c r="E53" s="158"/>
      <c r="F53" s="158"/>
      <c r="G53" s="159"/>
      <c r="H53" s="121"/>
      <c r="I53" s="122">
        <f>SUM(I40:I52)</f>
        <v>0</v>
      </c>
      <c r="J53" s="123">
        <f>SUM(J40:J52)</f>
        <v>0</v>
      </c>
      <c r="K53" s="124">
        <f>SUM(K40:K52)</f>
        <v>0</v>
      </c>
      <c r="N53" s="61"/>
    </row>
    <row r="54" spans="2:14" ht="16.5" thickBot="1" x14ac:dyDescent="0.3">
      <c r="B54" s="66"/>
      <c r="C54" s="67"/>
      <c r="D54" s="67"/>
      <c r="E54" s="67"/>
      <c r="F54" s="67"/>
      <c r="G54" s="67"/>
      <c r="H54" s="68"/>
      <c r="I54" s="67"/>
      <c r="J54" s="68"/>
      <c r="K54" s="67"/>
      <c r="L54" s="67"/>
      <c r="M54" s="67"/>
      <c r="N54" s="69"/>
    </row>
    <row r="55" spans="2:14" ht="16.5" thickTop="1" x14ac:dyDescent="0.25">
      <c r="B55" s="57"/>
      <c r="G55" s="125"/>
      <c r="H55" s="126"/>
      <c r="I55" s="125"/>
      <c r="J55" s="126"/>
      <c r="N55" s="61"/>
    </row>
    <row r="56" spans="2:14" ht="15.75" customHeight="1" x14ac:dyDescent="0.25">
      <c r="B56" s="57"/>
      <c r="F56" s="160" t="s">
        <v>88</v>
      </c>
      <c r="G56" s="160"/>
      <c r="H56" s="127" t="s">
        <v>89</v>
      </c>
      <c r="I56" s="115" t="s">
        <v>77</v>
      </c>
      <c r="N56" s="61"/>
    </row>
    <row r="57" spans="2:14" x14ac:dyDescent="0.25">
      <c r="B57" s="57"/>
      <c r="F57" s="161" t="s">
        <v>35</v>
      </c>
      <c r="G57" s="161"/>
      <c r="H57" s="128"/>
      <c r="I57" s="129"/>
      <c r="N57" s="61"/>
    </row>
    <row r="58" spans="2:14" x14ac:dyDescent="0.25">
      <c r="B58" s="57"/>
      <c r="F58" s="152" t="s">
        <v>90</v>
      </c>
      <c r="G58" s="152"/>
      <c r="H58" s="130">
        <f>+D35</f>
        <v>10</v>
      </c>
      <c r="I58" s="131"/>
      <c r="N58" s="61"/>
    </row>
    <row r="59" spans="2:14" x14ac:dyDescent="0.25">
      <c r="B59" s="57"/>
      <c r="F59" s="152" t="s">
        <v>91</v>
      </c>
      <c r="G59" s="152"/>
      <c r="H59" s="132"/>
      <c r="I59" s="131"/>
      <c r="N59" s="61"/>
    </row>
    <row r="60" spans="2:14" x14ac:dyDescent="0.25">
      <c r="B60" s="57"/>
      <c r="F60" s="152" t="s">
        <v>92</v>
      </c>
      <c r="G60" s="152"/>
      <c r="H60" s="132"/>
      <c r="I60" s="131"/>
      <c r="N60" s="61"/>
    </row>
    <row r="61" spans="2:14" x14ac:dyDescent="0.25">
      <c r="B61" s="57"/>
      <c r="F61" s="153" t="s">
        <v>93</v>
      </c>
      <c r="G61" s="153"/>
      <c r="H61" s="133"/>
      <c r="I61" s="134"/>
      <c r="N61" s="61"/>
    </row>
    <row r="62" spans="2:14" x14ac:dyDescent="0.25">
      <c r="B62" s="57"/>
      <c r="F62" s="154" t="s">
        <v>87</v>
      </c>
      <c r="G62" s="154"/>
      <c r="H62" s="136"/>
      <c r="I62" s="121">
        <f>SUM(I57:I61)</f>
        <v>0</v>
      </c>
      <c r="N62" s="61"/>
    </row>
    <row r="63" spans="2:14" ht="16.5" thickBot="1" x14ac:dyDescent="0.3">
      <c r="B63" s="66"/>
      <c r="C63" s="67"/>
      <c r="D63" s="67"/>
      <c r="E63" s="67"/>
      <c r="F63" s="67"/>
      <c r="G63" s="67"/>
      <c r="H63" s="68"/>
      <c r="I63" s="67"/>
      <c r="J63" s="68"/>
      <c r="K63" s="67"/>
      <c r="L63" s="67"/>
      <c r="M63" s="67"/>
      <c r="N63" s="69"/>
    </row>
    <row r="64" spans="2:14" ht="16.5" thickTop="1" x14ac:dyDescent="0.25">
      <c r="I64" s="94"/>
    </row>
  </sheetData>
  <sortState ref="C25:I34">
    <sortCondition ref="C25"/>
  </sortState>
  <mergeCells count="53">
    <mergeCell ref="C8:D8"/>
    <mergeCell ref="E8:H8"/>
    <mergeCell ref="J8:M8"/>
    <mergeCell ref="C9:D9"/>
    <mergeCell ref="E9:H9"/>
    <mergeCell ref="L9:M9"/>
    <mergeCell ref="L10:M10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L23:L24"/>
    <mergeCell ref="M23:M24"/>
    <mergeCell ref="C20:D20"/>
    <mergeCell ref="E20:F20"/>
    <mergeCell ref="C23:C24"/>
    <mergeCell ref="D23:D24"/>
    <mergeCell ref="E23:E24"/>
    <mergeCell ref="F23:G23"/>
    <mergeCell ref="D43:G43"/>
    <mergeCell ref="H23:H24"/>
    <mergeCell ref="I23:I24"/>
    <mergeCell ref="J23:J24"/>
    <mergeCell ref="K23:K24"/>
    <mergeCell ref="F35:G35"/>
    <mergeCell ref="D39:G39"/>
    <mergeCell ref="D40:G40"/>
    <mergeCell ref="D41:G41"/>
    <mergeCell ref="D42:G42"/>
    <mergeCell ref="F57:G57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F56:G56"/>
    <mergeCell ref="F58:G58"/>
    <mergeCell ref="F59:G59"/>
    <mergeCell ref="F60:G60"/>
    <mergeCell ref="F61:G61"/>
    <mergeCell ref="F62:G62"/>
  </mergeCells>
  <conditionalFormatting sqref="M25:M34">
    <cfRule type="cellIs" dxfId="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topLeftCell="A23" zoomScaleNormal="100" workbookViewId="0">
      <selection activeCell="E30" sqref="E30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1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192"/>
      <c r="C2" s="193"/>
      <c r="D2" s="194"/>
      <c r="E2" s="190" t="s">
        <v>4</v>
      </c>
      <c r="F2" s="191"/>
    </row>
    <row r="3" spans="2:9" ht="18" customHeight="1" thickBot="1" x14ac:dyDescent="0.3">
      <c r="B3" s="195"/>
      <c r="C3" s="196"/>
      <c r="D3" s="197"/>
      <c r="E3" s="42" t="s">
        <v>43</v>
      </c>
      <c r="F3" s="49">
        <v>46162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96">
        <v>1</v>
      </c>
      <c r="C5" s="12">
        <v>195</v>
      </c>
      <c r="D5" s="205" t="s">
        <v>180</v>
      </c>
      <c r="E5" s="97">
        <v>107.3</v>
      </c>
      <c r="F5" s="97">
        <v>107.7</v>
      </c>
    </row>
    <row r="6" spans="2:9" ht="20.45" customHeight="1" x14ac:dyDescent="0.25">
      <c r="B6" s="7">
        <f>+B5+1</f>
        <v>2</v>
      </c>
      <c r="C6" s="15">
        <v>195</v>
      </c>
      <c r="D6" s="206" t="s">
        <v>182</v>
      </c>
      <c r="E6" s="44">
        <v>133.30000000000001</v>
      </c>
      <c r="F6" s="44">
        <v>132.5</v>
      </c>
    </row>
    <row r="7" spans="2:9" ht="20.45" customHeight="1" x14ac:dyDescent="0.25">
      <c r="B7" s="7">
        <f t="shared" ref="B7:B34" si="0">+B6+1</f>
        <v>3</v>
      </c>
      <c r="C7" s="15">
        <v>195</v>
      </c>
      <c r="D7" s="206" t="s">
        <v>180</v>
      </c>
      <c r="E7" s="44">
        <v>106.4</v>
      </c>
      <c r="F7" s="44">
        <v>106.5</v>
      </c>
    </row>
    <row r="8" spans="2:9" ht="20.45" customHeight="1" x14ac:dyDescent="0.25">
      <c r="B8" s="7">
        <f t="shared" si="0"/>
        <v>4</v>
      </c>
      <c r="C8" s="15">
        <v>195</v>
      </c>
      <c r="D8" s="206" t="s">
        <v>180</v>
      </c>
      <c r="E8" s="44">
        <v>113.5</v>
      </c>
      <c r="F8" s="44">
        <v>114.2</v>
      </c>
    </row>
    <row r="9" spans="2:9" ht="20.45" customHeight="1" x14ac:dyDescent="0.25">
      <c r="B9" s="7">
        <f t="shared" si="0"/>
        <v>5</v>
      </c>
      <c r="C9" s="15">
        <v>195</v>
      </c>
      <c r="D9" s="206" t="s">
        <v>180</v>
      </c>
      <c r="E9" s="44">
        <v>92.3</v>
      </c>
      <c r="F9" s="44">
        <v>93.8</v>
      </c>
    </row>
    <row r="10" spans="2:9" ht="20.45" customHeight="1" x14ac:dyDescent="0.25">
      <c r="B10" s="7">
        <f t="shared" si="0"/>
        <v>6</v>
      </c>
      <c r="C10" s="15">
        <v>195</v>
      </c>
      <c r="D10" s="206" t="s">
        <v>182</v>
      </c>
      <c r="E10" s="44">
        <v>115.9</v>
      </c>
      <c r="F10" s="44">
        <v>118</v>
      </c>
    </row>
    <row r="11" spans="2:9" ht="20.45" customHeight="1" x14ac:dyDescent="0.25">
      <c r="B11" s="7">
        <f t="shared" si="0"/>
        <v>7</v>
      </c>
      <c r="C11" s="15">
        <v>195</v>
      </c>
      <c r="D11" s="206" t="s">
        <v>180</v>
      </c>
      <c r="E11" s="44">
        <v>106.6</v>
      </c>
      <c r="F11" s="44">
        <v>106.8</v>
      </c>
    </row>
    <row r="12" spans="2:9" ht="20.45" customHeight="1" x14ac:dyDescent="0.25">
      <c r="B12" s="7">
        <f t="shared" si="0"/>
        <v>8</v>
      </c>
      <c r="C12" s="15">
        <v>195</v>
      </c>
      <c r="D12" s="206" t="s">
        <v>180</v>
      </c>
      <c r="E12" s="44">
        <v>109.7</v>
      </c>
      <c r="F12" s="44">
        <v>109.6</v>
      </c>
    </row>
    <row r="13" spans="2:9" ht="20.45" customHeight="1" x14ac:dyDescent="0.25">
      <c r="B13" s="7">
        <f t="shared" si="0"/>
        <v>9</v>
      </c>
      <c r="C13" s="15">
        <v>195</v>
      </c>
      <c r="D13" s="206" t="s">
        <v>180</v>
      </c>
      <c r="E13" s="44">
        <v>99.4</v>
      </c>
      <c r="F13" s="44">
        <v>99.1</v>
      </c>
    </row>
    <row r="14" spans="2:9" ht="20.45" customHeight="1" x14ac:dyDescent="0.25">
      <c r="B14" s="7">
        <f t="shared" si="0"/>
        <v>10</v>
      </c>
      <c r="C14" s="15">
        <v>195</v>
      </c>
      <c r="D14" s="206" t="s">
        <v>180</v>
      </c>
      <c r="E14" s="44">
        <v>113.7</v>
      </c>
      <c r="F14" s="44">
        <v>116.7</v>
      </c>
    </row>
    <row r="15" spans="2:9" ht="20.45" customHeight="1" x14ac:dyDescent="0.25">
      <c r="B15" s="7">
        <f t="shared" si="0"/>
        <v>11</v>
      </c>
      <c r="C15" s="15">
        <v>195</v>
      </c>
      <c r="D15" s="206" t="s">
        <v>182</v>
      </c>
      <c r="E15" s="45">
        <v>123</v>
      </c>
      <c r="F15" s="45">
        <v>125.1</v>
      </c>
    </row>
    <row r="16" spans="2:9" ht="20.45" customHeight="1" x14ac:dyDescent="0.25">
      <c r="B16" s="7">
        <f t="shared" si="0"/>
        <v>12</v>
      </c>
      <c r="C16" s="15">
        <v>195</v>
      </c>
      <c r="D16" s="206" t="s">
        <v>182</v>
      </c>
      <c r="E16" s="45">
        <v>134.80000000000001</v>
      </c>
      <c r="F16" s="45">
        <v>135</v>
      </c>
    </row>
    <row r="17" spans="2:6" ht="20.45" customHeight="1" x14ac:dyDescent="0.25">
      <c r="B17" s="7">
        <f t="shared" si="0"/>
        <v>13</v>
      </c>
      <c r="C17" s="15">
        <v>195</v>
      </c>
      <c r="D17" s="206" t="s">
        <v>180</v>
      </c>
      <c r="E17" s="44">
        <v>104.9</v>
      </c>
      <c r="F17" s="44">
        <v>106</v>
      </c>
    </row>
    <row r="18" spans="2:6" ht="20.45" customHeight="1" x14ac:dyDescent="0.25">
      <c r="B18" s="7">
        <f t="shared" si="0"/>
        <v>14</v>
      </c>
      <c r="C18" s="15">
        <v>195</v>
      </c>
      <c r="D18" s="206" t="s">
        <v>182</v>
      </c>
      <c r="E18" s="44">
        <v>144</v>
      </c>
      <c r="F18" s="44">
        <v>147.9</v>
      </c>
    </row>
    <row r="19" spans="2:6" ht="20.45" customHeight="1" x14ac:dyDescent="0.25">
      <c r="B19" s="7">
        <f t="shared" si="0"/>
        <v>15</v>
      </c>
      <c r="C19" s="15">
        <v>195</v>
      </c>
      <c r="D19" s="206" t="s">
        <v>182</v>
      </c>
      <c r="E19" s="44">
        <v>122.6</v>
      </c>
      <c r="F19" s="44">
        <v>122.3</v>
      </c>
    </row>
    <row r="20" spans="2:6" ht="20.45" customHeight="1" x14ac:dyDescent="0.25">
      <c r="B20" s="7">
        <f t="shared" si="0"/>
        <v>16</v>
      </c>
      <c r="C20" s="15">
        <v>195</v>
      </c>
      <c r="D20" s="206" t="s">
        <v>180</v>
      </c>
      <c r="E20" s="44">
        <v>97.6</v>
      </c>
      <c r="F20" s="44">
        <v>100</v>
      </c>
    </row>
    <row r="21" spans="2:6" ht="20.45" customHeight="1" x14ac:dyDescent="0.25">
      <c r="B21" s="7">
        <f t="shared" si="0"/>
        <v>17</v>
      </c>
      <c r="C21" s="15">
        <v>199</v>
      </c>
      <c r="D21" s="206" t="s">
        <v>181</v>
      </c>
      <c r="E21" s="44">
        <v>141.4</v>
      </c>
      <c r="F21" s="44">
        <v>141.30000000000001</v>
      </c>
    </row>
    <row r="22" spans="2:6" ht="20.45" customHeight="1" x14ac:dyDescent="0.25">
      <c r="B22" s="7">
        <f t="shared" si="0"/>
        <v>18</v>
      </c>
      <c r="C22" s="15">
        <v>199</v>
      </c>
      <c r="D22" s="206" t="s">
        <v>183</v>
      </c>
      <c r="E22" s="44">
        <v>116.2</v>
      </c>
      <c r="F22" s="44">
        <v>116.2</v>
      </c>
    </row>
    <row r="23" spans="2:6" ht="20.45" customHeight="1" x14ac:dyDescent="0.25">
      <c r="B23" s="7">
        <f t="shared" si="0"/>
        <v>19</v>
      </c>
      <c r="C23" s="15">
        <v>199</v>
      </c>
      <c r="D23" s="206" t="s">
        <v>181</v>
      </c>
      <c r="E23" s="44">
        <v>133.4</v>
      </c>
      <c r="F23" s="44">
        <v>134.30000000000001</v>
      </c>
    </row>
    <row r="24" spans="2:6" ht="20.45" customHeight="1" x14ac:dyDescent="0.25">
      <c r="B24" s="7">
        <f t="shared" si="0"/>
        <v>20</v>
      </c>
      <c r="C24" s="15">
        <v>199</v>
      </c>
      <c r="D24" s="206" t="s">
        <v>181</v>
      </c>
      <c r="E24" s="44">
        <v>142.19999999999999</v>
      </c>
      <c r="F24" s="44">
        <v>145.6</v>
      </c>
    </row>
    <row r="25" spans="2:6" ht="20.45" customHeight="1" x14ac:dyDescent="0.25">
      <c r="B25" s="7">
        <f t="shared" si="0"/>
        <v>21</v>
      </c>
      <c r="C25" s="15">
        <v>199</v>
      </c>
      <c r="D25" s="206" t="s">
        <v>183</v>
      </c>
      <c r="E25" s="44">
        <v>106.2</v>
      </c>
      <c r="F25" s="44">
        <v>106.1</v>
      </c>
    </row>
    <row r="26" spans="2:6" ht="20.45" customHeight="1" x14ac:dyDescent="0.25">
      <c r="B26" s="7">
        <f t="shared" si="0"/>
        <v>22</v>
      </c>
      <c r="C26" s="15">
        <v>199</v>
      </c>
      <c r="D26" s="206" t="s">
        <v>181</v>
      </c>
      <c r="E26" s="44">
        <v>101</v>
      </c>
      <c r="F26" s="44">
        <v>102.6</v>
      </c>
    </row>
    <row r="27" spans="2:6" ht="20.45" customHeight="1" x14ac:dyDescent="0.25">
      <c r="B27" s="7">
        <f t="shared" si="0"/>
        <v>23</v>
      </c>
      <c r="C27" s="15">
        <v>199</v>
      </c>
      <c r="D27" s="206" t="s">
        <v>181</v>
      </c>
      <c r="E27" s="44">
        <v>162.19999999999999</v>
      </c>
      <c r="F27" s="44">
        <v>163.4</v>
      </c>
    </row>
    <row r="28" spans="2:6" ht="20.45" customHeight="1" x14ac:dyDescent="0.25">
      <c r="B28" s="7">
        <f t="shared" si="0"/>
        <v>24</v>
      </c>
      <c r="C28" s="15">
        <v>199</v>
      </c>
      <c r="D28" s="206" t="s">
        <v>181</v>
      </c>
      <c r="E28" s="44">
        <v>123.8</v>
      </c>
      <c r="F28" s="44">
        <v>122.7</v>
      </c>
    </row>
    <row r="29" spans="2:6" ht="20.45" customHeight="1" x14ac:dyDescent="0.25">
      <c r="B29" s="7">
        <f t="shared" si="0"/>
        <v>25</v>
      </c>
      <c r="C29" s="15">
        <v>199</v>
      </c>
      <c r="D29" s="206" t="s">
        <v>181</v>
      </c>
      <c r="E29" s="44">
        <v>140.1</v>
      </c>
      <c r="F29" s="44">
        <v>139.19999999999999</v>
      </c>
    </row>
    <row r="30" spans="2:6" ht="20.45" customHeight="1" x14ac:dyDescent="0.25">
      <c r="B30" s="7">
        <f t="shared" si="0"/>
        <v>26</v>
      </c>
      <c r="C30" s="15">
        <v>199</v>
      </c>
      <c r="D30" s="206" t="s">
        <v>181</v>
      </c>
      <c r="E30" s="44">
        <v>137.9</v>
      </c>
      <c r="F30" s="44">
        <v>137.19999999999999</v>
      </c>
    </row>
    <row r="31" spans="2:6" ht="20.45" customHeight="1" x14ac:dyDescent="0.25">
      <c r="B31" s="7">
        <f t="shared" si="0"/>
        <v>27</v>
      </c>
      <c r="C31" s="13">
        <v>194</v>
      </c>
      <c r="D31" s="206" t="s">
        <v>181</v>
      </c>
      <c r="E31" s="44">
        <v>101.5</v>
      </c>
      <c r="F31" s="44">
        <v>100.5</v>
      </c>
    </row>
    <row r="32" spans="2:6" ht="20.45" customHeight="1" x14ac:dyDescent="0.25">
      <c r="B32" s="7">
        <f t="shared" si="0"/>
        <v>28</v>
      </c>
      <c r="C32" s="13">
        <v>194</v>
      </c>
      <c r="D32" s="206" t="s">
        <v>181</v>
      </c>
      <c r="E32" s="44">
        <v>94.8</v>
      </c>
      <c r="F32" s="44">
        <v>96</v>
      </c>
    </row>
    <row r="33" spans="2:6" ht="20.45" customHeight="1" x14ac:dyDescent="0.25">
      <c r="B33" s="7">
        <f t="shared" si="0"/>
        <v>29</v>
      </c>
      <c r="C33" s="13">
        <v>194</v>
      </c>
      <c r="D33" s="206" t="s">
        <v>181</v>
      </c>
      <c r="E33" s="44">
        <v>111.5</v>
      </c>
      <c r="F33" s="44">
        <v>113.3</v>
      </c>
    </row>
    <row r="34" spans="2:6" ht="20.45" customHeight="1" thickBot="1" x14ac:dyDescent="0.3">
      <c r="B34" s="8">
        <f t="shared" si="0"/>
        <v>30</v>
      </c>
      <c r="C34" s="14">
        <v>194</v>
      </c>
      <c r="D34" s="207" t="s">
        <v>181</v>
      </c>
      <c r="E34" s="46">
        <v>101.1</v>
      </c>
      <c r="F34" s="46">
        <v>101.4</v>
      </c>
    </row>
    <row r="35" spans="2:6" ht="20.45" customHeight="1" x14ac:dyDescent="0.25"/>
    <row r="36" spans="2:6" x14ac:dyDescent="0.25">
      <c r="B36" s="22" t="s">
        <v>46</v>
      </c>
      <c r="C36" s="24" t="s">
        <v>34</v>
      </c>
      <c r="D36" s="23" t="s">
        <v>47</v>
      </c>
      <c r="E36" s="24" t="s">
        <v>34</v>
      </c>
      <c r="F36" s="23" t="s">
        <v>47</v>
      </c>
    </row>
    <row r="37" spans="2:6" x14ac:dyDescent="0.25">
      <c r="B37" s="22">
        <v>193</v>
      </c>
      <c r="C37" s="24">
        <v>2</v>
      </c>
      <c r="D37" s="24" t="s">
        <v>65</v>
      </c>
      <c r="E37" s="23"/>
      <c r="F37" s="23"/>
    </row>
    <row r="38" spans="2:6" x14ac:dyDescent="0.25">
      <c r="B38" s="22">
        <v>194</v>
      </c>
      <c r="C38" s="24">
        <v>4</v>
      </c>
      <c r="D38" s="24" t="s">
        <v>61</v>
      </c>
      <c r="E38" s="23">
        <v>6</v>
      </c>
      <c r="F38" s="23" t="s">
        <v>71</v>
      </c>
    </row>
    <row r="39" spans="2:6" x14ac:dyDescent="0.25">
      <c r="B39" s="22">
        <v>195</v>
      </c>
      <c r="C39" s="24">
        <v>6</v>
      </c>
      <c r="D39" s="24" t="s">
        <v>63</v>
      </c>
      <c r="E39" s="23">
        <v>10</v>
      </c>
      <c r="F39" s="23" t="s">
        <v>61</v>
      </c>
    </row>
    <row r="40" spans="2:6" x14ac:dyDescent="0.25">
      <c r="B40" s="22">
        <v>196</v>
      </c>
      <c r="C40" s="24">
        <v>3</v>
      </c>
      <c r="D40" s="24" t="s">
        <v>61</v>
      </c>
      <c r="E40" s="23">
        <v>1</v>
      </c>
      <c r="F40" s="23" t="s">
        <v>63</v>
      </c>
    </row>
    <row r="41" spans="2:6" ht="15.75" thickBot="1" x14ac:dyDescent="0.3">
      <c r="B41" s="108">
        <v>197</v>
      </c>
      <c r="C41" s="138">
        <v>2</v>
      </c>
      <c r="D41" s="138" t="s">
        <v>63</v>
      </c>
      <c r="E41" s="139"/>
      <c r="F41" s="139"/>
    </row>
    <row r="42" spans="2:6" x14ac:dyDescent="0.25">
      <c r="B42" s="143">
        <v>198</v>
      </c>
      <c r="C42" s="144">
        <v>2</v>
      </c>
      <c r="D42" s="144" t="s">
        <v>61</v>
      </c>
      <c r="E42" s="145">
        <v>12</v>
      </c>
      <c r="F42" s="146" t="s">
        <v>63</v>
      </c>
    </row>
    <row r="43" spans="2:6" ht="15.75" thickBot="1" x14ac:dyDescent="0.3">
      <c r="B43" s="147">
        <v>198</v>
      </c>
      <c r="C43" s="148">
        <v>1</v>
      </c>
      <c r="D43" s="148" t="s">
        <v>71</v>
      </c>
      <c r="E43" s="149"/>
      <c r="F43" s="150"/>
    </row>
    <row r="44" spans="2:6" x14ac:dyDescent="0.25">
      <c r="B44" s="140">
        <v>199</v>
      </c>
      <c r="C44" s="141">
        <v>8</v>
      </c>
      <c r="D44" s="141" t="s">
        <v>71</v>
      </c>
      <c r="E44" s="142">
        <v>2</v>
      </c>
      <c r="F44" s="142" t="s">
        <v>69</v>
      </c>
    </row>
  </sheetData>
  <mergeCells count="2">
    <mergeCell ref="E2:F2"/>
    <mergeCell ref="B2:D3"/>
  </mergeCells>
  <pageMargins left="0" right="0" top="0" bottom="0" header="0.31496062992125984" footer="0.31496062992125984"/>
  <pageSetup paperSize="9" scale="9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4"/>
  <sheetViews>
    <sheetView topLeftCell="A19" zoomScaleNormal="100" workbookViewId="0">
      <selection activeCell="E32" sqref="E32:F33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6" width="24.7109375" style="11" customWidth="1"/>
    <col min="7" max="7" width="10.85546875" bestFit="1" customWidth="1"/>
    <col min="8" max="8" width="14.42578125" bestFit="1" customWidth="1"/>
    <col min="9" max="9" width="12.85546875" bestFit="1" customWidth="1"/>
  </cols>
  <sheetData>
    <row r="1" spans="2:9" ht="10.5" customHeight="1" thickBot="1" x14ac:dyDescent="0.3"/>
    <row r="2" spans="2:9" ht="33.75" customHeight="1" thickBot="1" x14ac:dyDescent="0.3">
      <c r="B2" s="192"/>
      <c r="C2" s="193"/>
      <c r="D2" s="194"/>
      <c r="E2" s="190" t="s">
        <v>4</v>
      </c>
      <c r="F2" s="191"/>
    </row>
    <row r="3" spans="2:9" ht="18" customHeight="1" thickBot="1" x14ac:dyDescent="0.3">
      <c r="B3" s="195"/>
      <c r="C3" s="196"/>
      <c r="D3" s="197"/>
      <c r="E3" s="41" t="s">
        <v>43</v>
      </c>
      <c r="F3" s="50">
        <f>+'ROMANEO 1'!F3</f>
        <v>46162</v>
      </c>
    </row>
    <row r="4" spans="2:9" ht="15.75" thickBot="1" x14ac:dyDescent="0.3">
      <c r="B4" s="3" t="s">
        <v>0</v>
      </c>
      <c r="C4" s="3" t="s">
        <v>1</v>
      </c>
      <c r="D4" s="4" t="s">
        <v>14</v>
      </c>
      <c r="E4" s="5" t="s">
        <v>13</v>
      </c>
      <c r="F4" s="5" t="s">
        <v>12</v>
      </c>
      <c r="G4" s="1"/>
      <c r="H4" s="1"/>
      <c r="I4" s="1"/>
    </row>
    <row r="5" spans="2:9" ht="20.45" customHeight="1" x14ac:dyDescent="0.25">
      <c r="B5" s="6">
        <v>31</v>
      </c>
      <c r="C5" s="15">
        <v>194</v>
      </c>
      <c r="D5" s="39" t="s">
        <v>180</v>
      </c>
      <c r="E5" s="43">
        <v>97</v>
      </c>
      <c r="F5" s="43">
        <v>96.5</v>
      </c>
    </row>
    <row r="6" spans="2:9" ht="20.45" customHeight="1" x14ac:dyDescent="0.25">
      <c r="B6" s="7">
        <f>+B5+1</f>
        <v>32</v>
      </c>
      <c r="C6" s="15">
        <v>194</v>
      </c>
      <c r="D6" s="40" t="s">
        <v>180</v>
      </c>
      <c r="E6" s="44">
        <v>83.5</v>
      </c>
      <c r="F6" s="44">
        <v>83.8</v>
      </c>
    </row>
    <row r="7" spans="2:9" ht="20.45" customHeight="1" x14ac:dyDescent="0.25">
      <c r="B7" s="7">
        <f t="shared" ref="B7:B34" si="0">+B6+1</f>
        <v>33</v>
      </c>
      <c r="C7" s="15">
        <v>194</v>
      </c>
      <c r="D7" s="40" t="s">
        <v>180</v>
      </c>
      <c r="E7" s="44">
        <v>78.099999999999994</v>
      </c>
      <c r="F7" s="44">
        <v>77.900000000000006</v>
      </c>
    </row>
    <row r="8" spans="2:9" ht="20.45" customHeight="1" x14ac:dyDescent="0.25">
      <c r="B8" s="7">
        <f t="shared" si="0"/>
        <v>34</v>
      </c>
      <c r="C8" s="15">
        <v>194</v>
      </c>
      <c r="D8" s="40" t="s">
        <v>181</v>
      </c>
      <c r="E8" s="44">
        <v>125.6</v>
      </c>
      <c r="F8" s="44">
        <v>126.9</v>
      </c>
    </row>
    <row r="9" spans="2:9" ht="20.45" customHeight="1" x14ac:dyDescent="0.25">
      <c r="B9" s="7">
        <f t="shared" si="0"/>
        <v>35</v>
      </c>
      <c r="C9" s="15">
        <v>194</v>
      </c>
      <c r="D9" s="40" t="s">
        <v>181</v>
      </c>
      <c r="E9" s="44">
        <v>110.2</v>
      </c>
      <c r="F9" s="44">
        <v>111.2</v>
      </c>
    </row>
    <row r="10" spans="2:9" ht="20.45" customHeight="1" x14ac:dyDescent="0.25">
      <c r="B10" s="7">
        <f t="shared" si="0"/>
        <v>36</v>
      </c>
      <c r="C10" s="15">
        <v>194</v>
      </c>
      <c r="D10" s="40" t="s">
        <v>180</v>
      </c>
      <c r="E10" s="44">
        <v>83.8</v>
      </c>
      <c r="F10" s="44">
        <v>83.2</v>
      </c>
    </row>
    <row r="11" spans="2:9" ht="20.45" customHeight="1" x14ac:dyDescent="0.25">
      <c r="B11" s="7">
        <f t="shared" si="0"/>
        <v>37</v>
      </c>
      <c r="C11" s="15">
        <v>198</v>
      </c>
      <c r="D11" s="40" t="s">
        <v>182</v>
      </c>
      <c r="E11" s="44">
        <v>109.3</v>
      </c>
      <c r="F11" s="44">
        <v>110.8</v>
      </c>
    </row>
    <row r="12" spans="2:9" ht="20.45" customHeight="1" x14ac:dyDescent="0.25">
      <c r="B12" s="7">
        <f t="shared" si="0"/>
        <v>38</v>
      </c>
      <c r="C12" s="15">
        <v>198</v>
      </c>
      <c r="D12" s="40" t="s">
        <v>182</v>
      </c>
      <c r="E12" s="44">
        <v>131.9</v>
      </c>
      <c r="F12" s="44">
        <v>132.4</v>
      </c>
    </row>
    <row r="13" spans="2:9" ht="20.45" customHeight="1" x14ac:dyDescent="0.25">
      <c r="B13" s="7">
        <f t="shared" si="0"/>
        <v>39</v>
      </c>
      <c r="C13" s="15">
        <v>198</v>
      </c>
      <c r="D13" s="40" t="s">
        <v>182</v>
      </c>
      <c r="E13" s="44">
        <v>131.1</v>
      </c>
      <c r="F13" s="44">
        <v>132.19999999999999</v>
      </c>
    </row>
    <row r="14" spans="2:9" ht="20.45" customHeight="1" x14ac:dyDescent="0.25">
      <c r="B14" s="7">
        <f t="shared" si="0"/>
        <v>40</v>
      </c>
      <c r="C14" s="15">
        <v>198</v>
      </c>
      <c r="D14" s="40" t="s">
        <v>182</v>
      </c>
      <c r="E14" s="44">
        <v>117</v>
      </c>
      <c r="F14" s="44">
        <v>117.3</v>
      </c>
    </row>
    <row r="15" spans="2:9" ht="20.45" customHeight="1" x14ac:dyDescent="0.25">
      <c r="B15" s="7">
        <f t="shared" si="0"/>
        <v>41</v>
      </c>
      <c r="C15" s="15">
        <v>198</v>
      </c>
      <c r="D15" s="40" t="s">
        <v>181</v>
      </c>
      <c r="E15" s="45">
        <v>99</v>
      </c>
      <c r="F15" s="45">
        <v>99.7</v>
      </c>
    </row>
    <row r="16" spans="2:9" ht="20.45" customHeight="1" x14ac:dyDescent="0.25">
      <c r="B16" s="7">
        <f t="shared" si="0"/>
        <v>42</v>
      </c>
      <c r="C16" s="15">
        <v>198</v>
      </c>
      <c r="D16" s="40" t="s">
        <v>182</v>
      </c>
      <c r="E16" s="45">
        <v>130.30000000000001</v>
      </c>
      <c r="F16" s="45">
        <v>127.9</v>
      </c>
    </row>
    <row r="17" spans="2:6" ht="20.45" customHeight="1" x14ac:dyDescent="0.25">
      <c r="B17" s="7">
        <f t="shared" si="0"/>
        <v>43</v>
      </c>
      <c r="C17" s="15">
        <v>198</v>
      </c>
      <c r="D17" s="40" t="s">
        <v>180</v>
      </c>
      <c r="E17" s="44">
        <v>107</v>
      </c>
      <c r="F17" s="44">
        <v>107.1</v>
      </c>
    </row>
    <row r="18" spans="2:6" ht="20.45" customHeight="1" x14ac:dyDescent="0.25">
      <c r="B18" s="7">
        <f t="shared" si="0"/>
        <v>44</v>
      </c>
      <c r="C18" s="15">
        <v>198</v>
      </c>
      <c r="D18" s="40" t="s">
        <v>180</v>
      </c>
      <c r="E18" s="44">
        <v>112.1</v>
      </c>
      <c r="F18" s="44">
        <v>112.2</v>
      </c>
    </row>
    <row r="19" spans="2:6" ht="20.45" customHeight="1" x14ac:dyDescent="0.25">
      <c r="B19" s="7">
        <f t="shared" si="0"/>
        <v>45</v>
      </c>
      <c r="C19" s="15">
        <v>198</v>
      </c>
      <c r="D19" s="40" t="s">
        <v>182</v>
      </c>
      <c r="E19" s="44">
        <v>131.69999999999999</v>
      </c>
      <c r="F19" s="44">
        <v>130</v>
      </c>
    </row>
    <row r="20" spans="2:6" ht="20.45" customHeight="1" x14ac:dyDescent="0.25">
      <c r="B20" s="7">
        <f t="shared" si="0"/>
        <v>46</v>
      </c>
      <c r="C20" s="15">
        <v>198</v>
      </c>
      <c r="D20" s="40" t="s">
        <v>182</v>
      </c>
      <c r="E20" s="44">
        <v>118.9</v>
      </c>
      <c r="F20" s="44">
        <v>119.9</v>
      </c>
    </row>
    <row r="21" spans="2:6" ht="20.45" customHeight="1" x14ac:dyDescent="0.25">
      <c r="B21" s="7">
        <f t="shared" si="0"/>
        <v>47</v>
      </c>
      <c r="C21" s="15">
        <v>198</v>
      </c>
      <c r="D21" s="40" t="s">
        <v>182</v>
      </c>
      <c r="E21" s="44">
        <v>106.1</v>
      </c>
      <c r="F21" s="44">
        <v>108</v>
      </c>
    </row>
    <row r="22" spans="2:6" ht="20.45" customHeight="1" x14ac:dyDescent="0.25">
      <c r="B22" s="7">
        <f t="shared" si="0"/>
        <v>48</v>
      </c>
      <c r="C22" s="15">
        <v>198</v>
      </c>
      <c r="D22" s="40" t="s">
        <v>182</v>
      </c>
      <c r="E22" s="44">
        <v>104.9</v>
      </c>
      <c r="F22" s="44">
        <v>105.5</v>
      </c>
    </row>
    <row r="23" spans="2:6" ht="20.45" customHeight="1" x14ac:dyDescent="0.25">
      <c r="B23" s="7">
        <f t="shared" si="0"/>
        <v>49</v>
      </c>
      <c r="C23" s="15">
        <v>198</v>
      </c>
      <c r="D23" s="40" t="s">
        <v>182</v>
      </c>
      <c r="E23" s="44">
        <v>118.9</v>
      </c>
      <c r="F23" s="44">
        <v>119.5</v>
      </c>
    </row>
    <row r="24" spans="2:6" ht="20.45" customHeight="1" x14ac:dyDescent="0.25">
      <c r="B24" s="7">
        <f t="shared" si="0"/>
        <v>50</v>
      </c>
      <c r="C24" s="15">
        <v>198</v>
      </c>
      <c r="D24" s="40" t="s">
        <v>182</v>
      </c>
      <c r="E24" s="44">
        <v>136.9</v>
      </c>
      <c r="F24" s="44">
        <v>136</v>
      </c>
    </row>
    <row r="25" spans="2:6" ht="20.45" customHeight="1" x14ac:dyDescent="0.25">
      <c r="B25" s="7">
        <f t="shared" si="0"/>
        <v>51</v>
      </c>
      <c r="C25" s="15">
        <v>198</v>
      </c>
      <c r="D25" s="40" t="s">
        <v>182</v>
      </c>
      <c r="E25" s="44">
        <v>154.69999999999999</v>
      </c>
      <c r="F25" s="44">
        <v>155.1</v>
      </c>
    </row>
    <row r="26" spans="2:6" ht="20.45" customHeight="1" x14ac:dyDescent="0.25">
      <c r="B26" s="7">
        <f t="shared" si="0"/>
        <v>52</v>
      </c>
      <c r="C26" s="15">
        <v>193</v>
      </c>
      <c r="D26" s="40" t="s">
        <v>182</v>
      </c>
      <c r="E26" s="44">
        <v>111</v>
      </c>
      <c r="F26" s="44">
        <v>111.5</v>
      </c>
    </row>
    <row r="27" spans="2:6" ht="20.45" customHeight="1" x14ac:dyDescent="0.25">
      <c r="B27" s="7">
        <f t="shared" si="0"/>
        <v>53</v>
      </c>
      <c r="C27" s="15">
        <v>193</v>
      </c>
      <c r="D27" s="40" t="s">
        <v>182</v>
      </c>
      <c r="E27" s="44">
        <v>109.3</v>
      </c>
      <c r="F27" s="44">
        <v>110.3</v>
      </c>
    </row>
    <row r="28" spans="2:6" ht="20.45" customHeight="1" x14ac:dyDescent="0.25">
      <c r="B28" s="7">
        <f t="shared" si="0"/>
        <v>54</v>
      </c>
      <c r="C28" s="15">
        <v>196</v>
      </c>
      <c r="D28" s="40" t="s">
        <v>180</v>
      </c>
      <c r="E28" s="44">
        <v>86.5</v>
      </c>
      <c r="F28" s="44">
        <v>87.3</v>
      </c>
    </row>
    <row r="29" spans="2:6" ht="20.45" customHeight="1" x14ac:dyDescent="0.25">
      <c r="B29" s="7">
        <f t="shared" si="0"/>
        <v>55</v>
      </c>
      <c r="C29" s="15">
        <v>196</v>
      </c>
      <c r="D29" s="40" t="s">
        <v>182</v>
      </c>
      <c r="E29" s="44">
        <v>89</v>
      </c>
      <c r="F29" s="44">
        <v>90.2</v>
      </c>
    </row>
    <row r="30" spans="2:6" ht="20.45" customHeight="1" x14ac:dyDescent="0.25">
      <c r="B30" s="7">
        <f t="shared" si="0"/>
        <v>56</v>
      </c>
      <c r="C30" s="13">
        <v>196</v>
      </c>
      <c r="D30" s="40" t="s">
        <v>180</v>
      </c>
      <c r="E30" s="44">
        <v>92.7</v>
      </c>
      <c r="F30" s="44">
        <v>93</v>
      </c>
    </row>
    <row r="31" spans="2:6" ht="20.45" customHeight="1" x14ac:dyDescent="0.25">
      <c r="B31" s="7">
        <f t="shared" si="0"/>
        <v>57</v>
      </c>
      <c r="C31" s="13">
        <v>196</v>
      </c>
      <c r="D31" s="40" t="s">
        <v>180</v>
      </c>
      <c r="E31" s="44">
        <v>82.6</v>
      </c>
      <c r="F31" s="44">
        <v>82</v>
      </c>
    </row>
    <row r="32" spans="2:6" ht="20.45" customHeight="1" x14ac:dyDescent="0.25">
      <c r="B32" s="7">
        <f t="shared" si="0"/>
        <v>58</v>
      </c>
      <c r="C32" s="13">
        <v>197</v>
      </c>
      <c r="D32" s="40" t="s">
        <v>182</v>
      </c>
      <c r="E32" s="44">
        <v>88.5</v>
      </c>
      <c r="F32" s="44">
        <v>88.2</v>
      </c>
    </row>
    <row r="33" spans="2:6" ht="20.45" customHeight="1" x14ac:dyDescent="0.25">
      <c r="B33" s="7">
        <f t="shared" si="0"/>
        <v>59</v>
      </c>
      <c r="C33" s="13">
        <v>197</v>
      </c>
      <c r="D33" s="40" t="s">
        <v>182</v>
      </c>
      <c r="E33" s="44">
        <v>95.2</v>
      </c>
      <c r="F33" s="44">
        <v>96.1</v>
      </c>
    </row>
    <row r="34" spans="2:6" ht="20.45" customHeight="1" thickBot="1" x14ac:dyDescent="0.3">
      <c r="B34" s="8">
        <f t="shared" si="0"/>
        <v>60</v>
      </c>
      <c r="C34" s="14"/>
      <c r="D34" s="95"/>
      <c r="E34" s="46"/>
      <c r="F34" s="46"/>
    </row>
    <row r="35" spans="2:6" ht="20.45" customHeight="1" x14ac:dyDescent="0.25"/>
    <row r="36" spans="2:6" x14ac:dyDescent="0.25">
      <c r="B36" s="22" t="s">
        <v>46</v>
      </c>
      <c r="C36" s="24" t="s">
        <v>34</v>
      </c>
      <c r="D36" s="23" t="s">
        <v>47</v>
      </c>
      <c r="E36" s="24" t="s">
        <v>34</v>
      </c>
      <c r="F36" s="23" t="s">
        <v>47</v>
      </c>
    </row>
    <row r="37" spans="2:6" x14ac:dyDescent="0.25">
      <c r="B37" s="22">
        <v>193</v>
      </c>
      <c r="C37" s="24">
        <v>2</v>
      </c>
      <c r="D37" s="24" t="s">
        <v>65</v>
      </c>
      <c r="E37" s="23"/>
      <c r="F37" s="23"/>
    </row>
    <row r="38" spans="2:6" x14ac:dyDescent="0.25">
      <c r="B38" s="22">
        <v>194</v>
      </c>
      <c r="C38" s="24">
        <v>4</v>
      </c>
      <c r="D38" s="24" t="s">
        <v>61</v>
      </c>
      <c r="E38" s="23">
        <v>6</v>
      </c>
      <c r="F38" s="23" t="s">
        <v>71</v>
      </c>
    </row>
    <row r="39" spans="2:6" x14ac:dyDescent="0.25">
      <c r="B39" s="22">
        <v>195</v>
      </c>
      <c r="C39" s="24">
        <v>6</v>
      </c>
      <c r="D39" s="24" t="s">
        <v>63</v>
      </c>
      <c r="E39" s="23">
        <v>10</v>
      </c>
      <c r="F39" s="23" t="s">
        <v>61</v>
      </c>
    </row>
    <row r="40" spans="2:6" x14ac:dyDescent="0.25">
      <c r="B40" s="22">
        <v>196</v>
      </c>
      <c r="C40" s="24">
        <v>3</v>
      </c>
      <c r="D40" s="24" t="s">
        <v>61</v>
      </c>
      <c r="E40" s="23">
        <v>1</v>
      </c>
      <c r="F40" s="23" t="s">
        <v>63</v>
      </c>
    </row>
    <row r="41" spans="2:6" ht="15.75" thickBot="1" x14ac:dyDescent="0.3">
      <c r="B41" s="108">
        <v>197</v>
      </c>
      <c r="C41" s="138">
        <v>2</v>
      </c>
      <c r="D41" s="138" t="s">
        <v>63</v>
      </c>
      <c r="E41" s="139"/>
      <c r="F41" s="139"/>
    </row>
    <row r="42" spans="2:6" x14ac:dyDescent="0.25">
      <c r="B42" s="143">
        <v>198</v>
      </c>
      <c r="C42" s="144">
        <v>2</v>
      </c>
      <c r="D42" s="144" t="s">
        <v>61</v>
      </c>
      <c r="E42" s="145">
        <v>12</v>
      </c>
      <c r="F42" s="146" t="s">
        <v>63</v>
      </c>
    </row>
    <row r="43" spans="2:6" ht="15.75" thickBot="1" x14ac:dyDescent="0.3">
      <c r="B43" s="147">
        <v>198</v>
      </c>
      <c r="C43" s="148">
        <v>1</v>
      </c>
      <c r="D43" s="148" t="s">
        <v>71</v>
      </c>
      <c r="E43" s="149"/>
      <c r="F43" s="150"/>
    </row>
    <row r="44" spans="2:6" x14ac:dyDescent="0.25">
      <c r="B44" s="140">
        <v>199</v>
      </c>
      <c r="C44" s="141">
        <v>8</v>
      </c>
      <c r="D44" s="141" t="s">
        <v>71</v>
      </c>
      <c r="E44" s="142">
        <v>2</v>
      </c>
      <c r="F44" s="142" t="s">
        <v>69</v>
      </c>
    </row>
  </sheetData>
  <mergeCells count="2">
    <mergeCell ref="B2:D3"/>
    <mergeCell ref="E2:F2"/>
  </mergeCells>
  <pageMargins left="0" right="0" top="0" bottom="0" header="0.31496062992125984" footer="0.31496062992125984"/>
  <pageSetup paperSize="9" scale="9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topLeftCell="A4"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1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192"/>
      <c r="C2" s="193"/>
      <c r="D2" s="194"/>
      <c r="E2" s="47" t="s">
        <v>4</v>
      </c>
    </row>
    <row r="3" spans="2:8" ht="18" customHeight="1" thickBot="1" x14ac:dyDescent="0.3">
      <c r="B3" s="195"/>
      <c r="C3" s="196"/>
      <c r="D3" s="197"/>
      <c r="E3" s="48" t="s">
        <v>100</v>
      </c>
    </row>
    <row r="4" spans="2:8" ht="15.75" thickBot="1" x14ac:dyDescent="0.3">
      <c r="B4" s="3" t="s">
        <v>41</v>
      </c>
      <c r="C4" s="3" t="s">
        <v>1</v>
      </c>
      <c r="D4" s="204" t="s">
        <v>14</v>
      </c>
      <c r="E4" s="5" t="s">
        <v>42</v>
      </c>
      <c r="F4" s="1"/>
      <c r="G4" s="1"/>
      <c r="H4" s="1"/>
    </row>
    <row r="5" spans="2:8" ht="20.45" customHeight="1" x14ac:dyDescent="0.25">
      <c r="B5" s="6">
        <v>1</v>
      </c>
      <c r="C5" s="15">
        <v>195</v>
      </c>
      <c r="D5" s="205" t="s">
        <v>180</v>
      </c>
      <c r="E5" s="43"/>
    </row>
    <row r="6" spans="2:8" ht="20.45" customHeight="1" x14ac:dyDescent="0.25">
      <c r="B6" s="7">
        <f>+B5+1</f>
        <v>2</v>
      </c>
      <c r="C6" s="15">
        <v>195</v>
      </c>
      <c r="D6" s="206" t="s">
        <v>182</v>
      </c>
      <c r="E6" s="44"/>
    </row>
    <row r="7" spans="2:8" ht="20.45" customHeight="1" x14ac:dyDescent="0.25">
      <c r="B7" s="7">
        <f t="shared" ref="B7:B33" si="0">+B6+1</f>
        <v>3</v>
      </c>
      <c r="C7" s="15">
        <v>195</v>
      </c>
      <c r="D7" s="206" t="s">
        <v>180</v>
      </c>
      <c r="E7" s="44"/>
    </row>
    <row r="8" spans="2:8" ht="20.45" customHeight="1" x14ac:dyDescent="0.25">
      <c r="B8" s="7">
        <f t="shared" si="0"/>
        <v>4</v>
      </c>
      <c r="C8" s="15">
        <v>195</v>
      </c>
      <c r="D8" s="206" t="s">
        <v>180</v>
      </c>
      <c r="E8" s="44"/>
    </row>
    <row r="9" spans="2:8" ht="20.45" customHeight="1" x14ac:dyDescent="0.25">
      <c r="B9" s="7">
        <f t="shared" si="0"/>
        <v>5</v>
      </c>
      <c r="C9" s="15">
        <v>195</v>
      </c>
      <c r="D9" s="206" t="s">
        <v>180</v>
      </c>
      <c r="E9" s="44"/>
    </row>
    <row r="10" spans="2:8" ht="20.45" customHeight="1" x14ac:dyDescent="0.25">
      <c r="B10" s="7">
        <f t="shared" si="0"/>
        <v>6</v>
      </c>
      <c r="C10" s="15">
        <v>195</v>
      </c>
      <c r="D10" s="206" t="s">
        <v>182</v>
      </c>
      <c r="E10" s="44"/>
    </row>
    <row r="11" spans="2:8" ht="20.45" customHeight="1" x14ac:dyDescent="0.25">
      <c r="B11" s="7">
        <f t="shared" si="0"/>
        <v>7</v>
      </c>
      <c r="C11" s="15">
        <v>195</v>
      </c>
      <c r="D11" s="206" t="s">
        <v>180</v>
      </c>
      <c r="E11" s="44"/>
    </row>
    <row r="12" spans="2:8" ht="20.45" customHeight="1" x14ac:dyDescent="0.25">
      <c r="B12" s="7">
        <f t="shared" si="0"/>
        <v>8</v>
      </c>
      <c r="C12" s="15">
        <v>195</v>
      </c>
      <c r="D12" s="206" t="s">
        <v>180</v>
      </c>
      <c r="E12" s="44"/>
    </row>
    <row r="13" spans="2:8" ht="20.45" customHeight="1" x14ac:dyDescent="0.25">
      <c r="B13" s="7">
        <f t="shared" si="0"/>
        <v>9</v>
      </c>
      <c r="C13" s="15">
        <v>195</v>
      </c>
      <c r="D13" s="206" t="s">
        <v>180</v>
      </c>
      <c r="E13" s="44"/>
    </row>
    <row r="14" spans="2:8" ht="20.45" customHeight="1" x14ac:dyDescent="0.25">
      <c r="B14" s="7">
        <f t="shared" si="0"/>
        <v>10</v>
      </c>
      <c r="C14" s="15">
        <v>195</v>
      </c>
      <c r="D14" s="206" t="s">
        <v>180</v>
      </c>
      <c r="E14" s="44"/>
    </row>
    <row r="15" spans="2:8" ht="20.45" customHeight="1" x14ac:dyDescent="0.25">
      <c r="B15" s="7">
        <f t="shared" si="0"/>
        <v>11</v>
      </c>
      <c r="C15" s="15">
        <v>195</v>
      </c>
      <c r="D15" s="206" t="s">
        <v>182</v>
      </c>
      <c r="E15" s="45"/>
    </row>
    <row r="16" spans="2:8" ht="20.45" customHeight="1" x14ac:dyDescent="0.25">
      <c r="B16" s="7">
        <f t="shared" si="0"/>
        <v>12</v>
      </c>
      <c r="C16" s="15">
        <v>195</v>
      </c>
      <c r="D16" s="206" t="s">
        <v>182</v>
      </c>
      <c r="E16" s="45"/>
    </row>
    <row r="17" spans="2:5" ht="20.45" customHeight="1" x14ac:dyDescent="0.25">
      <c r="B17" s="7">
        <f t="shared" si="0"/>
        <v>13</v>
      </c>
      <c r="C17" s="15">
        <v>195</v>
      </c>
      <c r="D17" s="206" t="s">
        <v>180</v>
      </c>
      <c r="E17" s="44"/>
    </row>
    <row r="18" spans="2:5" ht="20.45" customHeight="1" x14ac:dyDescent="0.25">
      <c r="B18" s="7">
        <f t="shared" si="0"/>
        <v>14</v>
      </c>
      <c r="C18" s="15">
        <v>195</v>
      </c>
      <c r="D18" s="206" t="s">
        <v>182</v>
      </c>
      <c r="E18" s="44"/>
    </row>
    <row r="19" spans="2:5" ht="20.45" customHeight="1" x14ac:dyDescent="0.25">
      <c r="B19" s="7">
        <f t="shared" si="0"/>
        <v>15</v>
      </c>
      <c r="C19" s="15">
        <v>195</v>
      </c>
      <c r="D19" s="206" t="s">
        <v>182</v>
      </c>
      <c r="E19" s="44"/>
    </row>
    <row r="20" spans="2:5" ht="20.45" customHeight="1" x14ac:dyDescent="0.25">
      <c r="B20" s="7">
        <f t="shared" si="0"/>
        <v>16</v>
      </c>
      <c r="C20" s="15">
        <v>195</v>
      </c>
      <c r="D20" s="206" t="s">
        <v>180</v>
      </c>
      <c r="E20" s="44"/>
    </row>
    <row r="21" spans="2:5" ht="20.45" customHeight="1" x14ac:dyDescent="0.25">
      <c r="B21" s="7">
        <f t="shared" si="0"/>
        <v>17</v>
      </c>
      <c r="C21" s="15">
        <v>199</v>
      </c>
      <c r="D21" s="206" t="s">
        <v>181</v>
      </c>
      <c r="E21" s="44"/>
    </row>
    <row r="22" spans="2:5" ht="20.45" customHeight="1" x14ac:dyDescent="0.25">
      <c r="B22" s="7">
        <f t="shared" si="0"/>
        <v>18</v>
      </c>
      <c r="C22" s="15">
        <v>199</v>
      </c>
      <c r="D22" s="206" t="s">
        <v>183</v>
      </c>
      <c r="E22" s="44"/>
    </row>
    <row r="23" spans="2:5" ht="20.45" customHeight="1" x14ac:dyDescent="0.25">
      <c r="B23" s="7">
        <f t="shared" si="0"/>
        <v>19</v>
      </c>
      <c r="C23" s="15">
        <v>199</v>
      </c>
      <c r="D23" s="206" t="s">
        <v>181</v>
      </c>
      <c r="E23" s="44"/>
    </row>
    <row r="24" spans="2:5" ht="20.45" customHeight="1" x14ac:dyDescent="0.25">
      <c r="B24" s="7">
        <f t="shared" si="0"/>
        <v>20</v>
      </c>
      <c r="C24" s="15">
        <v>199</v>
      </c>
      <c r="D24" s="206" t="s">
        <v>181</v>
      </c>
      <c r="E24" s="44"/>
    </row>
    <row r="25" spans="2:5" ht="20.45" customHeight="1" x14ac:dyDescent="0.25">
      <c r="B25" s="7">
        <f t="shared" si="0"/>
        <v>21</v>
      </c>
      <c r="C25" s="13">
        <v>199</v>
      </c>
      <c r="D25" s="206" t="s">
        <v>183</v>
      </c>
      <c r="E25" s="44"/>
    </row>
    <row r="26" spans="2:5" ht="20.45" customHeight="1" x14ac:dyDescent="0.25">
      <c r="B26" s="7">
        <f t="shared" si="0"/>
        <v>22</v>
      </c>
      <c r="C26" s="13">
        <v>199</v>
      </c>
      <c r="D26" s="206" t="s">
        <v>181</v>
      </c>
      <c r="E26" s="44"/>
    </row>
    <row r="27" spans="2:5" ht="20.45" customHeight="1" x14ac:dyDescent="0.25">
      <c r="B27" s="7">
        <f t="shared" si="0"/>
        <v>23</v>
      </c>
      <c r="C27" s="13">
        <v>199</v>
      </c>
      <c r="D27" s="206" t="s">
        <v>181</v>
      </c>
      <c r="E27" s="44"/>
    </row>
    <row r="28" spans="2:5" ht="20.45" customHeight="1" x14ac:dyDescent="0.25">
      <c r="B28" s="7">
        <f t="shared" si="0"/>
        <v>24</v>
      </c>
      <c r="C28" s="13">
        <v>199</v>
      </c>
      <c r="D28" s="206" t="s">
        <v>181</v>
      </c>
      <c r="E28" s="44"/>
    </row>
    <row r="29" spans="2:5" ht="20.45" customHeight="1" x14ac:dyDescent="0.25">
      <c r="B29" s="7">
        <f t="shared" si="0"/>
        <v>25</v>
      </c>
      <c r="C29" s="13">
        <v>199</v>
      </c>
      <c r="D29" s="206" t="s">
        <v>181</v>
      </c>
      <c r="E29" s="44"/>
    </row>
    <row r="30" spans="2:5" ht="20.45" customHeight="1" x14ac:dyDescent="0.25">
      <c r="B30" s="7">
        <f t="shared" si="0"/>
        <v>26</v>
      </c>
      <c r="C30" s="13">
        <v>199</v>
      </c>
      <c r="D30" s="206" t="s">
        <v>181</v>
      </c>
      <c r="E30" s="44"/>
    </row>
    <row r="31" spans="2:5" ht="20.45" customHeight="1" x14ac:dyDescent="0.25">
      <c r="B31" s="7">
        <f t="shared" si="0"/>
        <v>27</v>
      </c>
      <c r="C31" s="13">
        <v>194</v>
      </c>
      <c r="D31" s="206" t="s">
        <v>181</v>
      </c>
      <c r="E31" s="44"/>
    </row>
    <row r="32" spans="2:5" ht="20.45" customHeight="1" x14ac:dyDescent="0.25">
      <c r="B32" s="7">
        <f t="shared" si="0"/>
        <v>28</v>
      </c>
      <c r="C32" s="13">
        <v>194</v>
      </c>
      <c r="D32" s="206" t="s">
        <v>181</v>
      </c>
      <c r="E32" s="44"/>
    </row>
    <row r="33" spans="2:5" ht="20.45" customHeight="1" x14ac:dyDescent="0.25">
      <c r="B33" s="7">
        <f t="shared" si="0"/>
        <v>29</v>
      </c>
      <c r="C33" s="13">
        <v>194</v>
      </c>
      <c r="D33" s="206" t="s">
        <v>181</v>
      </c>
      <c r="E33" s="44"/>
    </row>
    <row r="34" spans="2:5" ht="20.45" customHeight="1" thickBot="1" x14ac:dyDescent="0.3">
      <c r="B34" s="8">
        <f>+B33+1</f>
        <v>30</v>
      </c>
      <c r="C34" s="13">
        <v>194</v>
      </c>
      <c r="D34" s="207" t="s">
        <v>181</v>
      </c>
      <c r="E34" s="46"/>
    </row>
    <row r="35" spans="2:5" ht="20.45" customHeight="1" x14ac:dyDescent="0.25"/>
  </sheetData>
  <mergeCells count="1">
    <mergeCell ref="B2:D3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topLeftCell="A18" zoomScaleNormal="100" workbookViewId="0">
      <selection activeCell="D5" sqref="D5:D34"/>
    </sheetView>
  </sheetViews>
  <sheetFormatPr baseColWidth="10" defaultRowHeight="15" x14ac:dyDescent="0.25"/>
  <cols>
    <col min="1" max="1" width="2" customWidth="1"/>
    <col min="2" max="2" width="12.140625" style="2" customWidth="1"/>
    <col min="3" max="3" width="11.7109375" customWidth="1"/>
    <col min="4" max="4" width="14.7109375" customWidth="1"/>
    <col min="5" max="5" width="47" style="11" customWidth="1"/>
    <col min="6" max="6" width="10.85546875" bestFit="1" customWidth="1"/>
    <col min="7" max="7" width="14.42578125" bestFit="1" customWidth="1"/>
    <col min="8" max="8" width="12.85546875" bestFit="1" customWidth="1"/>
  </cols>
  <sheetData>
    <row r="1" spans="2:8" ht="10.5" customHeight="1" thickBot="1" x14ac:dyDescent="0.3"/>
    <row r="2" spans="2:8" ht="33.75" customHeight="1" thickBot="1" x14ac:dyDescent="0.3">
      <c r="B2" s="192"/>
      <c r="C2" s="193"/>
      <c r="D2" s="194"/>
      <c r="E2" s="47" t="s">
        <v>4</v>
      </c>
    </row>
    <row r="3" spans="2:8" ht="18" customHeight="1" thickBot="1" x14ac:dyDescent="0.3">
      <c r="B3" s="195"/>
      <c r="C3" s="196"/>
      <c r="D3" s="197"/>
      <c r="E3" s="48" t="s">
        <v>100</v>
      </c>
    </row>
    <row r="4" spans="2:8" ht="15.75" thickBot="1" x14ac:dyDescent="0.3">
      <c r="B4" s="3" t="s">
        <v>41</v>
      </c>
      <c r="C4" s="3" t="s">
        <v>1</v>
      </c>
      <c r="D4" s="204" t="s">
        <v>14</v>
      </c>
      <c r="E4" s="5" t="s">
        <v>42</v>
      </c>
      <c r="F4" s="1"/>
      <c r="G4" s="1"/>
      <c r="H4" s="1"/>
    </row>
    <row r="5" spans="2:8" ht="20.45" customHeight="1" x14ac:dyDescent="0.25">
      <c r="B5" s="6">
        <v>31</v>
      </c>
      <c r="C5" s="15">
        <v>194</v>
      </c>
      <c r="D5" s="39" t="s">
        <v>180</v>
      </c>
      <c r="E5" s="43"/>
    </row>
    <row r="6" spans="2:8" ht="20.45" customHeight="1" x14ac:dyDescent="0.25">
      <c r="B6" s="7">
        <f>+B5+1</f>
        <v>32</v>
      </c>
      <c r="C6" s="15">
        <v>194</v>
      </c>
      <c r="D6" s="40" t="s">
        <v>180</v>
      </c>
      <c r="E6" s="44"/>
    </row>
    <row r="7" spans="2:8" ht="20.45" customHeight="1" x14ac:dyDescent="0.25">
      <c r="B7" s="7">
        <f t="shared" ref="B7:B33" si="0">+B6+1</f>
        <v>33</v>
      </c>
      <c r="C7" s="15">
        <v>194</v>
      </c>
      <c r="D7" s="40" t="s">
        <v>180</v>
      </c>
      <c r="E7" s="44"/>
    </row>
    <row r="8" spans="2:8" ht="20.45" customHeight="1" x14ac:dyDescent="0.25">
      <c r="B8" s="7">
        <f t="shared" si="0"/>
        <v>34</v>
      </c>
      <c r="C8" s="15">
        <v>194</v>
      </c>
      <c r="D8" s="40" t="s">
        <v>181</v>
      </c>
      <c r="E8" s="44"/>
    </row>
    <row r="9" spans="2:8" ht="20.45" customHeight="1" x14ac:dyDescent="0.25">
      <c r="B9" s="7">
        <f t="shared" si="0"/>
        <v>35</v>
      </c>
      <c r="C9" s="15">
        <v>194</v>
      </c>
      <c r="D9" s="40" t="s">
        <v>181</v>
      </c>
      <c r="E9" s="44"/>
    </row>
    <row r="10" spans="2:8" ht="20.45" customHeight="1" x14ac:dyDescent="0.25">
      <c r="B10" s="7">
        <f t="shared" si="0"/>
        <v>36</v>
      </c>
      <c r="C10" s="15">
        <v>194</v>
      </c>
      <c r="D10" s="40" t="s">
        <v>180</v>
      </c>
      <c r="E10" s="44"/>
    </row>
    <row r="11" spans="2:8" ht="20.45" customHeight="1" x14ac:dyDescent="0.25">
      <c r="B11" s="7">
        <f t="shared" si="0"/>
        <v>37</v>
      </c>
      <c r="C11" s="15">
        <v>198</v>
      </c>
      <c r="D11" s="40" t="s">
        <v>182</v>
      </c>
      <c r="E11" s="44"/>
    </row>
    <row r="12" spans="2:8" ht="20.45" customHeight="1" x14ac:dyDescent="0.25">
      <c r="B12" s="7">
        <f t="shared" si="0"/>
        <v>38</v>
      </c>
      <c r="C12" s="15">
        <v>198</v>
      </c>
      <c r="D12" s="40" t="s">
        <v>182</v>
      </c>
      <c r="E12" s="44"/>
    </row>
    <row r="13" spans="2:8" ht="20.45" customHeight="1" x14ac:dyDescent="0.25">
      <c r="B13" s="7">
        <f t="shared" si="0"/>
        <v>39</v>
      </c>
      <c r="C13" s="15">
        <v>198</v>
      </c>
      <c r="D13" s="40" t="s">
        <v>182</v>
      </c>
      <c r="E13" s="44"/>
    </row>
    <row r="14" spans="2:8" ht="20.45" customHeight="1" x14ac:dyDescent="0.25">
      <c r="B14" s="7">
        <f t="shared" si="0"/>
        <v>40</v>
      </c>
      <c r="C14" s="15">
        <v>198</v>
      </c>
      <c r="D14" s="40" t="s">
        <v>182</v>
      </c>
      <c r="E14" s="44"/>
    </row>
    <row r="15" spans="2:8" ht="20.45" customHeight="1" x14ac:dyDescent="0.25">
      <c r="B15" s="7">
        <f t="shared" si="0"/>
        <v>41</v>
      </c>
      <c r="C15" s="15">
        <v>198</v>
      </c>
      <c r="D15" s="40" t="s">
        <v>181</v>
      </c>
      <c r="E15" s="45"/>
    </row>
    <row r="16" spans="2:8" ht="20.45" customHeight="1" x14ac:dyDescent="0.25">
      <c r="B16" s="7">
        <f t="shared" si="0"/>
        <v>42</v>
      </c>
      <c r="C16" s="15">
        <v>198</v>
      </c>
      <c r="D16" s="40" t="s">
        <v>182</v>
      </c>
      <c r="E16" s="45"/>
    </row>
    <row r="17" spans="2:5" ht="20.45" customHeight="1" x14ac:dyDescent="0.25">
      <c r="B17" s="7">
        <f t="shared" si="0"/>
        <v>43</v>
      </c>
      <c r="C17" s="15">
        <v>198</v>
      </c>
      <c r="D17" s="40" t="s">
        <v>180</v>
      </c>
      <c r="E17" s="44"/>
    </row>
    <row r="18" spans="2:5" ht="20.45" customHeight="1" x14ac:dyDescent="0.25">
      <c r="B18" s="7">
        <f t="shared" si="0"/>
        <v>44</v>
      </c>
      <c r="C18" s="15">
        <v>198</v>
      </c>
      <c r="D18" s="40" t="s">
        <v>180</v>
      </c>
      <c r="E18" s="44"/>
    </row>
    <row r="19" spans="2:5" ht="20.45" customHeight="1" x14ac:dyDescent="0.25">
      <c r="B19" s="7">
        <f t="shared" si="0"/>
        <v>45</v>
      </c>
      <c r="C19" s="15">
        <v>198</v>
      </c>
      <c r="D19" s="40" t="s">
        <v>182</v>
      </c>
      <c r="E19" s="44"/>
    </row>
    <row r="20" spans="2:5" ht="20.45" customHeight="1" x14ac:dyDescent="0.25">
      <c r="B20" s="7">
        <f t="shared" si="0"/>
        <v>46</v>
      </c>
      <c r="C20" s="15">
        <v>198</v>
      </c>
      <c r="D20" s="40" t="s">
        <v>182</v>
      </c>
      <c r="E20" s="44"/>
    </row>
    <row r="21" spans="2:5" ht="20.45" customHeight="1" x14ac:dyDescent="0.25">
      <c r="B21" s="7">
        <f t="shared" si="0"/>
        <v>47</v>
      </c>
      <c r="C21" s="15">
        <v>198</v>
      </c>
      <c r="D21" s="40" t="s">
        <v>182</v>
      </c>
      <c r="E21" s="44"/>
    </row>
    <row r="22" spans="2:5" ht="20.45" customHeight="1" x14ac:dyDescent="0.25">
      <c r="B22" s="7">
        <f t="shared" si="0"/>
        <v>48</v>
      </c>
      <c r="C22" s="15">
        <v>198</v>
      </c>
      <c r="D22" s="40" t="s">
        <v>182</v>
      </c>
      <c r="E22" s="44"/>
    </row>
    <row r="23" spans="2:5" ht="20.45" customHeight="1" x14ac:dyDescent="0.25">
      <c r="B23" s="7">
        <f t="shared" si="0"/>
        <v>49</v>
      </c>
      <c r="C23" s="15">
        <v>198</v>
      </c>
      <c r="D23" s="40" t="s">
        <v>182</v>
      </c>
      <c r="E23" s="44"/>
    </row>
    <row r="24" spans="2:5" ht="20.45" customHeight="1" x14ac:dyDescent="0.25">
      <c r="B24" s="7">
        <f t="shared" si="0"/>
        <v>50</v>
      </c>
      <c r="C24" s="13">
        <v>198</v>
      </c>
      <c r="D24" s="40" t="s">
        <v>182</v>
      </c>
      <c r="E24" s="44"/>
    </row>
    <row r="25" spans="2:5" ht="20.45" customHeight="1" x14ac:dyDescent="0.25">
      <c r="B25" s="7">
        <f t="shared" si="0"/>
        <v>51</v>
      </c>
      <c r="C25" s="13">
        <v>198</v>
      </c>
      <c r="D25" s="40" t="s">
        <v>182</v>
      </c>
      <c r="E25" s="44"/>
    </row>
    <row r="26" spans="2:5" ht="20.45" customHeight="1" x14ac:dyDescent="0.25">
      <c r="B26" s="7">
        <f t="shared" si="0"/>
        <v>52</v>
      </c>
      <c r="C26" s="13">
        <v>193</v>
      </c>
      <c r="D26" s="40" t="s">
        <v>182</v>
      </c>
      <c r="E26" s="44"/>
    </row>
    <row r="27" spans="2:5" ht="20.45" customHeight="1" x14ac:dyDescent="0.25">
      <c r="B27" s="7">
        <f t="shared" si="0"/>
        <v>53</v>
      </c>
      <c r="C27" s="13">
        <v>193</v>
      </c>
      <c r="D27" s="40" t="s">
        <v>182</v>
      </c>
      <c r="E27" s="44"/>
    </row>
    <row r="28" spans="2:5" ht="20.45" customHeight="1" x14ac:dyDescent="0.25">
      <c r="B28" s="7">
        <f t="shared" si="0"/>
        <v>54</v>
      </c>
      <c r="C28" s="13">
        <v>196</v>
      </c>
      <c r="D28" s="40" t="s">
        <v>180</v>
      </c>
      <c r="E28" s="44"/>
    </row>
    <row r="29" spans="2:5" ht="20.45" customHeight="1" x14ac:dyDescent="0.25">
      <c r="B29" s="7">
        <f t="shared" si="0"/>
        <v>55</v>
      </c>
      <c r="C29" s="13">
        <v>196</v>
      </c>
      <c r="D29" s="40" t="s">
        <v>182</v>
      </c>
      <c r="E29" s="44"/>
    </row>
    <row r="30" spans="2:5" ht="20.45" customHeight="1" x14ac:dyDescent="0.25">
      <c r="B30" s="7">
        <f t="shared" si="0"/>
        <v>56</v>
      </c>
      <c r="C30" s="13">
        <v>196</v>
      </c>
      <c r="D30" s="40" t="s">
        <v>180</v>
      </c>
      <c r="E30" s="44"/>
    </row>
    <row r="31" spans="2:5" ht="20.45" customHeight="1" x14ac:dyDescent="0.25">
      <c r="B31" s="7">
        <f t="shared" si="0"/>
        <v>57</v>
      </c>
      <c r="C31" s="13">
        <v>196</v>
      </c>
      <c r="D31" s="40" t="s">
        <v>180</v>
      </c>
      <c r="E31" s="44"/>
    </row>
    <row r="32" spans="2:5" ht="20.45" customHeight="1" x14ac:dyDescent="0.25">
      <c r="B32" s="7">
        <f t="shared" si="0"/>
        <v>58</v>
      </c>
      <c r="C32" s="13">
        <v>197</v>
      </c>
      <c r="D32" s="40" t="s">
        <v>182</v>
      </c>
      <c r="E32" s="44"/>
    </row>
    <row r="33" spans="2:5" ht="20.45" customHeight="1" x14ac:dyDescent="0.25">
      <c r="B33" s="7">
        <f t="shared" si="0"/>
        <v>59</v>
      </c>
      <c r="C33" s="13">
        <v>197</v>
      </c>
      <c r="D33" s="40" t="s">
        <v>182</v>
      </c>
      <c r="E33" s="44"/>
    </row>
    <row r="34" spans="2:5" ht="20.45" customHeight="1" thickBot="1" x14ac:dyDescent="0.3">
      <c r="B34" s="8">
        <f>+B33+1</f>
        <v>60</v>
      </c>
      <c r="C34" s="14"/>
      <c r="D34" s="95"/>
      <c r="E34" s="46"/>
    </row>
    <row r="35" spans="2:5" ht="20.45" customHeight="1" x14ac:dyDescent="0.25"/>
  </sheetData>
  <mergeCells count="1">
    <mergeCell ref="B2:D3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view="pageBreakPreview" zoomScale="60" zoomScaleNormal="100" workbookViewId="0">
      <selection activeCell="C23" sqref="C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1" bestFit="1" customWidth="1"/>
    <col min="7" max="8" width="14.42578125" bestFit="1" customWidth="1"/>
  </cols>
  <sheetData>
    <row r="1" spans="2:6" x14ac:dyDescent="0.25">
      <c r="C1" s="25" t="s">
        <v>44</v>
      </c>
      <c r="D1" s="26">
        <v>46162</v>
      </c>
    </row>
    <row r="2" spans="2:6" x14ac:dyDescent="0.25">
      <c r="C2" s="27" t="s">
        <v>45</v>
      </c>
      <c r="D2" s="24" t="s">
        <v>96</v>
      </c>
    </row>
    <row r="3" spans="2:6" x14ac:dyDescent="0.25">
      <c r="C3" s="28" t="s">
        <v>48</v>
      </c>
      <c r="D3" s="29"/>
    </row>
    <row r="4" spans="2:6" ht="15.75" x14ac:dyDescent="0.25">
      <c r="B4" s="30" t="s">
        <v>16</v>
      </c>
      <c r="C4" s="30" t="s">
        <v>15</v>
      </c>
      <c r="D4" s="30" t="s">
        <v>17</v>
      </c>
      <c r="E4" s="31" t="s">
        <v>18</v>
      </c>
      <c r="F4" s="32" t="s">
        <v>19</v>
      </c>
    </row>
    <row r="5" spans="2:6" ht="26.1" customHeight="1" x14ac:dyDescent="0.25">
      <c r="B5" s="201" t="s">
        <v>94</v>
      </c>
      <c r="C5" s="33" t="s">
        <v>20</v>
      </c>
      <c r="D5" s="22">
        <f>17.7+18.36+21.54</f>
        <v>57.6</v>
      </c>
      <c r="E5" s="34"/>
      <c r="F5" s="35"/>
    </row>
    <row r="6" spans="2:6" ht="26.1" customHeight="1" x14ac:dyDescent="0.25">
      <c r="B6" s="202"/>
      <c r="C6" s="33" t="s">
        <v>7</v>
      </c>
      <c r="D6" s="22">
        <f>14+13</f>
        <v>27</v>
      </c>
      <c r="E6" s="34"/>
      <c r="F6" s="35"/>
    </row>
    <row r="7" spans="2:6" ht="26.1" customHeight="1" x14ac:dyDescent="0.25">
      <c r="B7" s="202"/>
      <c r="C7" s="33" t="s">
        <v>6</v>
      </c>
      <c r="D7" s="22" t="s">
        <v>184</v>
      </c>
      <c r="E7" s="34">
        <f>11.8+3.1+7.1+6.74</f>
        <v>28.740000000000002</v>
      </c>
      <c r="F7" s="35"/>
    </row>
    <row r="8" spans="2:6" ht="26.1" customHeight="1" x14ac:dyDescent="0.25">
      <c r="B8" s="202"/>
      <c r="C8" s="33" t="s">
        <v>10</v>
      </c>
      <c r="D8" s="22">
        <v>26</v>
      </c>
      <c r="E8" s="34"/>
      <c r="F8" s="35"/>
    </row>
    <row r="9" spans="2:6" ht="26.1" customHeight="1" x14ac:dyDescent="0.25">
      <c r="B9" s="202"/>
      <c r="C9" s="33" t="s">
        <v>21</v>
      </c>
      <c r="D9" s="22">
        <v>16.96</v>
      </c>
      <c r="E9" s="34"/>
      <c r="F9" s="35"/>
    </row>
    <row r="10" spans="2:6" ht="26.1" customHeight="1" x14ac:dyDescent="0.25">
      <c r="B10" s="202"/>
      <c r="C10" s="33" t="s">
        <v>5</v>
      </c>
      <c r="D10" s="22">
        <v>54</v>
      </c>
      <c r="E10" s="34"/>
      <c r="F10" s="35"/>
    </row>
    <row r="11" spans="2:6" ht="26.1" customHeight="1" x14ac:dyDescent="0.25">
      <c r="B11" s="202"/>
      <c r="C11" s="33" t="s">
        <v>22</v>
      </c>
      <c r="D11" s="22">
        <v>104</v>
      </c>
      <c r="E11" s="34"/>
      <c r="F11" s="35"/>
    </row>
    <row r="12" spans="2:6" ht="26.1" customHeight="1" x14ac:dyDescent="0.25">
      <c r="B12" s="202"/>
      <c r="C12" s="33" t="s">
        <v>8</v>
      </c>
      <c r="D12" s="22">
        <v>27</v>
      </c>
      <c r="E12" s="34"/>
      <c r="F12" s="35"/>
    </row>
    <row r="13" spans="2:6" ht="26.1" customHeight="1" x14ac:dyDescent="0.25">
      <c r="B13" s="202"/>
      <c r="C13" s="33" t="s">
        <v>23</v>
      </c>
      <c r="D13" s="22">
        <v>27</v>
      </c>
      <c r="E13" s="34"/>
      <c r="F13" s="35"/>
    </row>
    <row r="14" spans="2:6" ht="26.1" customHeight="1" x14ac:dyDescent="0.25">
      <c r="B14" s="202"/>
      <c r="C14" s="33" t="s">
        <v>36</v>
      </c>
      <c r="D14" s="22">
        <v>27.92</v>
      </c>
      <c r="E14" s="34"/>
      <c r="F14" s="35"/>
    </row>
    <row r="15" spans="2:6" ht="26.1" customHeight="1" x14ac:dyDescent="0.25">
      <c r="B15" s="202"/>
      <c r="C15" s="33" t="s">
        <v>9</v>
      </c>
      <c r="D15" s="22">
        <v>27</v>
      </c>
      <c r="E15" s="34"/>
      <c r="F15" s="35"/>
    </row>
    <row r="16" spans="2:6" ht="26.1" customHeight="1" x14ac:dyDescent="0.25">
      <c r="B16" s="202"/>
      <c r="C16" s="33" t="s">
        <v>24</v>
      </c>
      <c r="D16" s="22">
        <v>27</v>
      </c>
      <c r="E16" s="34"/>
      <c r="F16" s="35"/>
    </row>
    <row r="17" spans="2:9" ht="26.1" customHeight="1" x14ac:dyDescent="0.25">
      <c r="B17" s="203"/>
      <c r="C17" s="33" t="s">
        <v>37</v>
      </c>
      <c r="D17" s="22">
        <v>13.64</v>
      </c>
      <c r="E17" s="34"/>
      <c r="F17" s="35"/>
    </row>
    <row r="18" spans="2:9" x14ac:dyDescent="0.25">
      <c r="C18" s="20"/>
      <c r="D18" s="36" t="s">
        <v>11</v>
      </c>
      <c r="E18" s="36">
        <f>SUM(E5:E17)</f>
        <v>28.740000000000002</v>
      </c>
      <c r="F18" s="36">
        <f>SUM(F5:F17)</f>
        <v>0</v>
      </c>
    </row>
    <row r="19" spans="2:9" ht="15.75" thickBot="1" x14ac:dyDescent="0.3"/>
    <row r="20" spans="2:9" ht="15.75" thickBot="1" x14ac:dyDescent="0.3">
      <c r="B20" s="199" t="s">
        <v>40</v>
      </c>
      <c r="C20" s="200"/>
      <c r="D20" s="200"/>
      <c r="E20" s="200"/>
      <c r="F20" s="200"/>
    </row>
    <row r="21" spans="2:9" ht="26.1" customHeight="1" x14ac:dyDescent="0.25">
      <c r="B21" s="18" t="s">
        <v>38</v>
      </c>
      <c r="C21" s="16"/>
      <c r="D21" s="17"/>
      <c r="E21" s="17"/>
      <c r="F21" s="37"/>
    </row>
    <row r="22" spans="2:9" ht="26.1" customHeight="1" thickBot="1" x14ac:dyDescent="0.3">
      <c r="B22" s="19" t="s">
        <v>39</v>
      </c>
      <c r="C22" s="9">
        <v>2.38</v>
      </c>
      <c r="D22" s="10"/>
      <c r="E22" s="10"/>
      <c r="F22" s="38"/>
    </row>
    <row r="24" spans="2:9" ht="15.75" x14ac:dyDescent="0.25">
      <c r="B24" s="198" t="s">
        <v>75</v>
      </c>
      <c r="C24" s="198"/>
      <c r="D24" s="198"/>
      <c r="E24" s="198"/>
      <c r="F24" s="198"/>
      <c r="G24" s="198"/>
      <c r="H24" s="198"/>
      <c r="I24" s="198"/>
    </row>
    <row r="25" spans="2:9" ht="26.1" customHeight="1" x14ac:dyDescent="0.25">
      <c r="B25" s="103" t="s">
        <v>76</v>
      </c>
      <c r="C25" s="103" t="s">
        <v>16</v>
      </c>
      <c r="D25" s="103" t="s">
        <v>19</v>
      </c>
      <c r="E25" s="103" t="s">
        <v>77</v>
      </c>
      <c r="F25" s="103" t="s">
        <v>78</v>
      </c>
      <c r="G25" s="103" t="s">
        <v>79</v>
      </c>
      <c r="H25" s="103" t="s">
        <v>80</v>
      </c>
      <c r="I25" s="103" t="s">
        <v>1</v>
      </c>
    </row>
    <row r="26" spans="2:9" ht="26.1" customHeight="1" x14ac:dyDescent="0.25">
      <c r="B26" s="99"/>
      <c r="C26" s="99"/>
      <c r="D26" s="99"/>
      <c r="E26" s="99"/>
      <c r="F26" s="100">
        <v>46097</v>
      </c>
      <c r="G26" s="100">
        <f>+F26+1</f>
        <v>46098</v>
      </c>
      <c r="H26" s="100">
        <f>+F26+5</f>
        <v>46102</v>
      </c>
      <c r="I26" s="99"/>
    </row>
    <row r="27" spans="2:9" ht="26.1" customHeight="1" x14ac:dyDescent="0.25">
      <c r="B27" s="99"/>
      <c r="C27" s="99"/>
      <c r="D27" s="101"/>
      <c r="E27" s="102"/>
      <c r="F27" s="100">
        <v>46098</v>
      </c>
      <c r="G27" s="100">
        <f t="shared" ref="G27:G30" si="0">+F27+1</f>
        <v>46099</v>
      </c>
      <c r="H27" s="100">
        <f t="shared" ref="H27:H30" si="1">+F27+5</f>
        <v>46103</v>
      </c>
      <c r="I27" s="99"/>
    </row>
    <row r="28" spans="2:9" ht="26.1" customHeight="1" x14ac:dyDescent="0.25">
      <c r="B28" s="99"/>
      <c r="C28" s="99"/>
      <c r="D28" s="101"/>
      <c r="E28" s="101"/>
      <c r="F28" s="100">
        <v>46099</v>
      </c>
      <c r="G28" s="100">
        <f t="shared" si="0"/>
        <v>46100</v>
      </c>
      <c r="H28" s="100">
        <f t="shared" si="1"/>
        <v>46104</v>
      </c>
      <c r="I28" s="99"/>
    </row>
    <row r="29" spans="2:9" ht="26.1" customHeight="1" x14ac:dyDescent="0.25">
      <c r="B29" s="99"/>
      <c r="C29" s="99"/>
      <c r="D29" s="101"/>
      <c r="E29" s="102"/>
      <c r="F29" s="100">
        <v>46100</v>
      </c>
      <c r="G29" s="100">
        <f t="shared" si="0"/>
        <v>46101</v>
      </c>
      <c r="H29" s="100">
        <f t="shared" si="1"/>
        <v>46105</v>
      </c>
      <c r="I29" s="99"/>
    </row>
    <row r="30" spans="2:9" ht="26.1" customHeight="1" x14ac:dyDescent="0.25">
      <c r="B30" s="99"/>
      <c r="C30" s="99"/>
      <c r="D30" s="99"/>
      <c r="E30" s="99"/>
      <c r="F30" s="100">
        <v>46101</v>
      </c>
      <c r="G30" s="100">
        <f t="shared" si="0"/>
        <v>46102</v>
      </c>
      <c r="H30" s="100">
        <f t="shared" si="1"/>
        <v>46106</v>
      </c>
      <c r="I30" s="99"/>
    </row>
  </sheetData>
  <mergeCells count="3">
    <mergeCell ref="B24:I24"/>
    <mergeCell ref="B20:F20"/>
    <mergeCell ref="B5:B17"/>
  </mergeCells>
  <pageMargins left="0.25" right="0.25" top="0.75" bottom="0.75" header="0.3" footer="0.3"/>
  <pageSetup paperSize="9" scale="6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view="pageBreakPreview" zoomScale="60" zoomScaleNormal="100" workbookViewId="0">
      <selection activeCell="C23" sqref="C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1" bestFit="1" customWidth="1"/>
    <col min="7" max="8" width="14.42578125" bestFit="1" customWidth="1"/>
  </cols>
  <sheetData>
    <row r="1" spans="2:6" x14ac:dyDescent="0.25">
      <c r="C1" s="25" t="s">
        <v>44</v>
      </c>
      <c r="D1" s="26">
        <v>46162</v>
      </c>
    </row>
    <row r="2" spans="2:6" x14ac:dyDescent="0.25">
      <c r="C2" s="27" t="s">
        <v>45</v>
      </c>
      <c r="D2" s="24">
        <v>195</v>
      </c>
    </row>
    <row r="3" spans="2:6" x14ac:dyDescent="0.25">
      <c r="C3" s="28" t="s">
        <v>48</v>
      </c>
      <c r="D3" s="29"/>
    </row>
    <row r="4" spans="2:6" ht="15.75" x14ac:dyDescent="0.25">
      <c r="B4" s="30" t="s">
        <v>16</v>
      </c>
      <c r="C4" s="30" t="s">
        <v>15</v>
      </c>
      <c r="D4" s="30" t="s">
        <v>17</v>
      </c>
      <c r="E4" s="31" t="s">
        <v>18</v>
      </c>
      <c r="F4" s="32" t="s">
        <v>19</v>
      </c>
    </row>
    <row r="5" spans="2:6" ht="26.1" customHeight="1" x14ac:dyDescent="0.25">
      <c r="B5" s="201" t="s">
        <v>95</v>
      </c>
      <c r="C5" s="33" t="s">
        <v>20</v>
      </c>
      <c r="D5" s="22">
        <f>21.1+18.32</f>
        <v>39.42</v>
      </c>
      <c r="E5" s="34"/>
      <c r="F5" s="35"/>
    </row>
    <row r="6" spans="2:6" ht="26.1" customHeight="1" x14ac:dyDescent="0.25">
      <c r="B6" s="202"/>
      <c r="C6" s="33" t="s">
        <v>7</v>
      </c>
      <c r="D6" s="22">
        <v>16</v>
      </c>
      <c r="E6" s="34"/>
      <c r="F6" s="35"/>
    </row>
    <row r="7" spans="2:6" ht="26.1" customHeight="1" x14ac:dyDescent="0.25">
      <c r="B7" s="202"/>
      <c r="C7" s="33" t="s">
        <v>6</v>
      </c>
      <c r="D7" s="22" t="s">
        <v>186</v>
      </c>
      <c r="E7" s="34"/>
      <c r="F7" s="35"/>
    </row>
    <row r="8" spans="2:6" ht="26.1" customHeight="1" x14ac:dyDescent="0.25">
      <c r="B8" s="202"/>
      <c r="C8" s="33" t="s">
        <v>10</v>
      </c>
      <c r="D8" s="22">
        <v>16</v>
      </c>
      <c r="E8" s="34"/>
      <c r="F8" s="35"/>
    </row>
    <row r="9" spans="2:6" ht="26.1" customHeight="1" x14ac:dyDescent="0.25">
      <c r="B9" s="202"/>
      <c r="C9" s="33" t="s">
        <v>21</v>
      </c>
      <c r="D9" s="22">
        <v>9.18</v>
      </c>
      <c r="E9" s="34"/>
      <c r="F9" s="35"/>
    </row>
    <row r="10" spans="2:6" ht="26.1" customHeight="1" x14ac:dyDescent="0.25">
      <c r="B10" s="202"/>
      <c r="C10" s="33" t="s">
        <v>5</v>
      </c>
      <c r="D10" s="22">
        <v>32</v>
      </c>
      <c r="E10" s="34"/>
      <c r="F10" s="35"/>
    </row>
    <row r="11" spans="2:6" ht="26.1" customHeight="1" x14ac:dyDescent="0.25">
      <c r="B11" s="202"/>
      <c r="C11" s="33" t="s">
        <v>22</v>
      </c>
      <c r="D11" s="22">
        <v>64</v>
      </c>
      <c r="E11" s="34"/>
      <c r="F11" s="35"/>
    </row>
    <row r="12" spans="2:6" ht="26.1" customHeight="1" x14ac:dyDescent="0.25">
      <c r="B12" s="202"/>
      <c r="C12" s="33" t="s">
        <v>8</v>
      </c>
      <c r="D12" s="22">
        <v>16</v>
      </c>
      <c r="E12" s="34"/>
      <c r="F12" s="35"/>
    </row>
    <row r="13" spans="2:6" ht="26.1" customHeight="1" x14ac:dyDescent="0.25">
      <c r="B13" s="202"/>
      <c r="C13" s="33" t="s">
        <v>23</v>
      </c>
      <c r="D13" s="22">
        <v>16</v>
      </c>
      <c r="E13" s="34"/>
      <c r="F13" s="35"/>
    </row>
    <row r="14" spans="2:6" ht="26.1" customHeight="1" x14ac:dyDescent="0.25">
      <c r="B14" s="202"/>
      <c r="C14" s="33" t="s">
        <v>36</v>
      </c>
      <c r="D14" s="22">
        <v>20.62</v>
      </c>
      <c r="E14" s="34"/>
      <c r="F14" s="35"/>
    </row>
    <row r="15" spans="2:6" ht="26.1" customHeight="1" x14ac:dyDescent="0.25">
      <c r="B15" s="202"/>
      <c r="C15" s="33" t="s">
        <v>9</v>
      </c>
      <c r="D15" s="22">
        <v>16</v>
      </c>
      <c r="E15" s="34"/>
      <c r="F15" s="35"/>
    </row>
    <row r="16" spans="2:6" ht="26.1" customHeight="1" x14ac:dyDescent="0.25">
      <c r="B16" s="202"/>
      <c r="C16" s="33" t="s">
        <v>24</v>
      </c>
      <c r="D16" s="22">
        <v>16</v>
      </c>
      <c r="E16" s="34"/>
      <c r="F16" s="35"/>
    </row>
    <row r="17" spans="2:9" ht="26.1" customHeight="1" x14ac:dyDescent="0.25">
      <c r="B17" s="203"/>
      <c r="C17" s="33" t="s">
        <v>37</v>
      </c>
      <c r="D17" s="22">
        <v>7.04</v>
      </c>
      <c r="E17" s="34"/>
      <c r="F17" s="35"/>
    </row>
    <row r="18" spans="2:9" x14ac:dyDescent="0.25">
      <c r="C18" s="109"/>
      <c r="D18" s="36" t="s">
        <v>11</v>
      </c>
      <c r="E18" s="36">
        <f>SUM(E5:E17)</f>
        <v>0</v>
      </c>
      <c r="F18" s="36">
        <f>SUM(F5:F17)</f>
        <v>0</v>
      </c>
    </row>
    <row r="19" spans="2:9" ht="15.75" thickBot="1" x14ac:dyDescent="0.3"/>
    <row r="20" spans="2:9" ht="15.75" thickBot="1" x14ac:dyDescent="0.3">
      <c r="B20" s="199" t="s">
        <v>40</v>
      </c>
      <c r="C20" s="200"/>
      <c r="D20" s="200"/>
      <c r="E20" s="200"/>
      <c r="F20" s="200"/>
    </row>
    <row r="21" spans="2:9" ht="26.1" customHeight="1" x14ac:dyDescent="0.25">
      <c r="B21" s="18" t="s">
        <v>38</v>
      </c>
      <c r="C21" s="16"/>
      <c r="D21" s="17"/>
      <c r="E21" s="17"/>
      <c r="F21" s="37"/>
    </row>
    <row r="22" spans="2:9" ht="26.1" customHeight="1" thickBot="1" x14ac:dyDescent="0.3">
      <c r="B22" s="19" t="s">
        <v>39</v>
      </c>
      <c r="C22" s="9">
        <v>1.78</v>
      </c>
      <c r="D22" s="10"/>
      <c r="E22" s="10"/>
      <c r="F22" s="38"/>
    </row>
    <row r="24" spans="2:9" ht="15.75" x14ac:dyDescent="0.25">
      <c r="B24" s="198" t="s">
        <v>75</v>
      </c>
      <c r="C24" s="198"/>
      <c r="D24" s="198"/>
      <c r="E24" s="198"/>
      <c r="F24" s="198"/>
      <c r="G24" s="198"/>
      <c r="H24" s="198"/>
      <c r="I24" s="198"/>
    </row>
    <row r="25" spans="2:9" ht="26.1" customHeight="1" x14ac:dyDescent="0.25">
      <c r="B25" s="103" t="s">
        <v>76</v>
      </c>
      <c r="C25" s="103" t="s">
        <v>16</v>
      </c>
      <c r="D25" s="103" t="s">
        <v>19</v>
      </c>
      <c r="E25" s="103" t="s">
        <v>77</v>
      </c>
      <c r="F25" s="103" t="s">
        <v>78</v>
      </c>
      <c r="G25" s="103" t="s">
        <v>79</v>
      </c>
      <c r="H25" s="103" t="s">
        <v>80</v>
      </c>
      <c r="I25" s="103" t="s">
        <v>1</v>
      </c>
    </row>
    <row r="26" spans="2:9" ht="26.1" customHeight="1" x14ac:dyDescent="0.25">
      <c r="B26" s="135"/>
      <c r="C26" s="135"/>
      <c r="D26" s="135"/>
      <c r="E26" s="135"/>
      <c r="F26" s="100">
        <v>46097</v>
      </c>
      <c r="G26" s="100">
        <f>+F26+1</f>
        <v>46098</v>
      </c>
      <c r="H26" s="100">
        <f>+F26+5</f>
        <v>46102</v>
      </c>
      <c r="I26" s="135"/>
    </row>
    <row r="27" spans="2:9" ht="26.1" customHeight="1" x14ac:dyDescent="0.25">
      <c r="B27" s="135"/>
      <c r="C27" s="135"/>
      <c r="D27" s="101"/>
      <c r="E27" s="102"/>
      <c r="F27" s="100">
        <v>46098</v>
      </c>
      <c r="G27" s="100">
        <f t="shared" ref="G27:G30" si="0">+F27+1</f>
        <v>46099</v>
      </c>
      <c r="H27" s="100">
        <f t="shared" ref="H27:H30" si="1">+F27+5</f>
        <v>46103</v>
      </c>
      <c r="I27" s="135"/>
    </row>
    <row r="28" spans="2:9" ht="26.1" customHeight="1" x14ac:dyDescent="0.25">
      <c r="B28" s="135"/>
      <c r="C28" s="135"/>
      <c r="D28" s="101"/>
      <c r="E28" s="101"/>
      <c r="F28" s="100">
        <v>46099</v>
      </c>
      <c r="G28" s="100">
        <f t="shared" si="0"/>
        <v>46100</v>
      </c>
      <c r="H28" s="100">
        <f t="shared" si="1"/>
        <v>46104</v>
      </c>
      <c r="I28" s="135"/>
    </row>
    <row r="29" spans="2:9" ht="26.1" customHeight="1" x14ac:dyDescent="0.25">
      <c r="B29" s="135"/>
      <c r="C29" s="135"/>
      <c r="D29" s="101"/>
      <c r="E29" s="102"/>
      <c r="F29" s="100">
        <v>46100</v>
      </c>
      <c r="G29" s="100">
        <f t="shared" si="0"/>
        <v>46101</v>
      </c>
      <c r="H29" s="100">
        <f t="shared" si="1"/>
        <v>46105</v>
      </c>
      <c r="I29" s="135"/>
    </row>
    <row r="30" spans="2:9" ht="26.1" customHeight="1" x14ac:dyDescent="0.25">
      <c r="B30" s="135"/>
      <c r="C30" s="135"/>
      <c r="D30" s="135"/>
      <c r="E30" s="135"/>
      <c r="F30" s="100">
        <v>46101</v>
      </c>
      <c r="G30" s="100">
        <f t="shared" si="0"/>
        <v>46102</v>
      </c>
      <c r="H30" s="100">
        <f t="shared" si="1"/>
        <v>46106</v>
      </c>
      <c r="I30" s="135"/>
    </row>
  </sheetData>
  <mergeCells count="3">
    <mergeCell ref="B5:B17"/>
    <mergeCell ref="B20:F20"/>
    <mergeCell ref="B24:I24"/>
  </mergeCells>
  <pageMargins left="0.25" right="0.25" top="0.75" bottom="0.75" header="0.3" footer="0.3"/>
  <pageSetup paperSize="9" scale="6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view="pageBreakPreview" zoomScale="60" zoomScaleNormal="100" workbookViewId="0">
      <selection activeCell="C23" sqref="C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1" bestFit="1" customWidth="1"/>
    <col min="7" max="8" width="14.42578125" bestFit="1" customWidth="1"/>
  </cols>
  <sheetData>
    <row r="1" spans="2:6" x14ac:dyDescent="0.25">
      <c r="C1" s="25" t="s">
        <v>44</v>
      </c>
      <c r="D1" s="26">
        <v>46162</v>
      </c>
    </row>
    <row r="2" spans="2:6" x14ac:dyDescent="0.25">
      <c r="C2" s="27" t="s">
        <v>45</v>
      </c>
      <c r="D2" s="24">
        <v>199</v>
      </c>
    </row>
    <row r="3" spans="2:6" x14ac:dyDescent="0.25">
      <c r="C3" s="28" t="s">
        <v>48</v>
      </c>
      <c r="D3" s="29"/>
    </row>
    <row r="4" spans="2:6" ht="15.75" x14ac:dyDescent="0.25">
      <c r="B4" s="30" t="s">
        <v>16</v>
      </c>
      <c r="C4" s="30" t="s">
        <v>15</v>
      </c>
      <c r="D4" s="30" t="s">
        <v>17</v>
      </c>
      <c r="E4" s="31" t="s">
        <v>18</v>
      </c>
      <c r="F4" s="32" t="s">
        <v>19</v>
      </c>
    </row>
    <row r="5" spans="2:6" ht="26.1" customHeight="1" x14ac:dyDescent="0.25">
      <c r="B5" s="201" t="s">
        <v>97</v>
      </c>
      <c r="C5" s="33" t="s">
        <v>20</v>
      </c>
      <c r="D5" s="22">
        <v>23.02</v>
      </c>
      <c r="E5" s="34"/>
      <c r="F5" s="35"/>
    </row>
    <row r="6" spans="2:6" ht="26.1" customHeight="1" x14ac:dyDescent="0.25">
      <c r="B6" s="202"/>
      <c r="C6" s="33" t="s">
        <v>7</v>
      </c>
      <c r="D6" s="22">
        <v>10</v>
      </c>
      <c r="E6" s="34"/>
      <c r="F6" s="35"/>
    </row>
    <row r="7" spans="2:6" ht="26.1" customHeight="1" x14ac:dyDescent="0.25">
      <c r="B7" s="202"/>
      <c r="C7" s="33" t="s">
        <v>6</v>
      </c>
      <c r="D7" s="22" t="s">
        <v>185</v>
      </c>
      <c r="E7" s="34">
        <f>5+3.34+2.38</f>
        <v>10.719999999999999</v>
      </c>
      <c r="F7" s="35"/>
    </row>
    <row r="8" spans="2:6" ht="26.1" customHeight="1" x14ac:dyDescent="0.25">
      <c r="B8" s="202"/>
      <c r="C8" s="33" t="s">
        <v>10</v>
      </c>
      <c r="D8" s="22">
        <v>10</v>
      </c>
      <c r="E8" s="34"/>
      <c r="F8" s="35"/>
    </row>
    <row r="9" spans="2:6" ht="26.1" customHeight="1" x14ac:dyDescent="0.25">
      <c r="B9" s="202"/>
      <c r="C9" s="33" t="s">
        <v>21</v>
      </c>
      <c r="D9" s="22">
        <v>826</v>
      </c>
      <c r="E9" s="34"/>
      <c r="F9" s="35"/>
    </row>
    <row r="10" spans="2:6" ht="26.1" customHeight="1" x14ac:dyDescent="0.25">
      <c r="B10" s="202"/>
      <c r="C10" s="33" t="s">
        <v>5</v>
      </c>
      <c r="D10" s="22">
        <v>20</v>
      </c>
      <c r="E10" s="34"/>
      <c r="F10" s="35"/>
    </row>
    <row r="11" spans="2:6" ht="26.1" customHeight="1" x14ac:dyDescent="0.25">
      <c r="B11" s="202"/>
      <c r="C11" s="33" t="s">
        <v>22</v>
      </c>
      <c r="D11" s="22">
        <v>40</v>
      </c>
      <c r="E11" s="34"/>
      <c r="F11" s="35"/>
    </row>
    <row r="12" spans="2:6" ht="26.1" customHeight="1" x14ac:dyDescent="0.25">
      <c r="B12" s="202"/>
      <c r="C12" s="33" t="s">
        <v>8</v>
      </c>
      <c r="D12" s="22">
        <v>10</v>
      </c>
      <c r="E12" s="34"/>
      <c r="F12" s="35"/>
    </row>
    <row r="13" spans="2:6" ht="26.1" customHeight="1" x14ac:dyDescent="0.25">
      <c r="B13" s="202"/>
      <c r="C13" s="33" t="s">
        <v>23</v>
      </c>
      <c r="D13" s="22">
        <v>10</v>
      </c>
      <c r="E13" s="34"/>
      <c r="F13" s="35"/>
    </row>
    <row r="14" spans="2:6" ht="26.1" customHeight="1" x14ac:dyDescent="0.25">
      <c r="B14" s="202"/>
      <c r="C14" s="33" t="s">
        <v>36</v>
      </c>
      <c r="D14" s="22">
        <v>14.58</v>
      </c>
      <c r="E14" s="34"/>
      <c r="F14" s="35"/>
    </row>
    <row r="15" spans="2:6" ht="26.1" customHeight="1" x14ac:dyDescent="0.25">
      <c r="B15" s="202"/>
      <c r="C15" s="33" t="s">
        <v>9</v>
      </c>
      <c r="D15" s="22">
        <v>10</v>
      </c>
      <c r="E15" s="34"/>
      <c r="F15" s="35"/>
    </row>
    <row r="16" spans="2:6" ht="26.1" customHeight="1" x14ac:dyDescent="0.25">
      <c r="B16" s="202"/>
      <c r="C16" s="33" t="s">
        <v>24</v>
      </c>
      <c r="D16" s="22">
        <v>10</v>
      </c>
      <c r="E16" s="34"/>
      <c r="F16" s="35"/>
    </row>
    <row r="17" spans="2:9" ht="26.1" customHeight="1" x14ac:dyDescent="0.25">
      <c r="B17" s="203"/>
      <c r="C17" s="33" t="s">
        <v>37</v>
      </c>
      <c r="D17" s="22">
        <v>7.18</v>
      </c>
      <c r="E17" s="34"/>
      <c r="F17" s="35"/>
    </row>
    <row r="18" spans="2:9" x14ac:dyDescent="0.25">
      <c r="C18" s="109"/>
      <c r="D18" s="36" t="s">
        <v>11</v>
      </c>
      <c r="E18" s="36">
        <f>SUM(E5:E17)</f>
        <v>10.719999999999999</v>
      </c>
      <c r="F18" s="36">
        <f>SUM(F5:F17)</f>
        <v>0</v>
      </c>
    </row>
    <row r="19" spans="2:9" ht="15.75" thickBot="1" x14ac:dyDescent="0.3"/>
    <row r="20" spans="2:9" ht="15.75" thickBot="1" x14ac:dyDescent="0.3">
      <c r="B20" s="199" t="s">
        <v>40</v>
      </c>
      <c r="C20" s="200"/>
      <c r="D20" s="200"/>
      <c r="E20" s="200"/>
      <c r="F20" s="200"/>
    </row>
    <row r="21" spans="2:9" ht="26.1" customHeight="1" x14ac:dyDescent="0.25">
      <c r="B21" s="18" t="s">
        <v>38</v>
      </c>
      <c r="C21" s="16"/>
      <c r="D21" s="17"/>
      <c r="E21" s="17"/>
      <c r="F21" s="37"/>
    </row>
    <row r="22" spans="2:9" ht="26.1" customHeight="1" thickBot="1" x14ac:dyDescent="0.3">
      <c r="B22" s="19" t="s">
        <v>39</v>
      </c>
      <c r="C22" s="9">
        <v>0.7</v>
      </c>
      <c r="D22" s="10"/>
      <c r="E22" s="10"/>
      <c r="F22" s="38"/>
    </row>
    <row r="24" spans="2:9" ht="15.75" x14ac:dyDescent="0.25">
      <c r="B24" s="198" t="s">
        <v>75</v>
      </c>
      <c r="C24" s="198"/>
      <c r="D24" s="198"/>
      <c r="E24" s="198"/>
      <c r="F24" s="198"/>
      <c r="G24" s="198"/>
      <c r="H24" s="198"/>
      <c r="I24" s="198"/>
    </row>
    <row r="25" spans="2:9" ht="26.1" customHeight="1" x14ac:dyDescent="0.25">
      <c r="B25" s="103" t="s">
        <v>76</v>
      </c>
      <c r="C25" s="103" t="s">
        <v>16</v>
      </c>
      <c r="D25" s="103" t="s">
        <v>19</v>
      </c>
      <c r="E25" s="103" t="s">
        <v>77</v>
      </c>
      <c r="F25" s="103" t="s">
        <v>78</v>
      </c>
      <c r="G25" s="103" t="s">
        <v>79</v>
      </c>
      <c r="H25" s="103" t="s">
        <v>80</v>
      </c>
      <c r="I25" s="103" t="s">
        <v>1</v>
      </c>
    </row>
    <row r="26" spans="2:9" ht="26.1" customHeight="1" x14ac:dyDescent="0.25">
      <c r="B26" s="135"/>
      <c r="C26" s="135"/>
      <c r="D26" s="135"/>
      <c r="E26" s="135"/>
      <c r="F26" s="100">
        <v>46097</v>
      </c>
      <c r="G26" s="100">
        <f>+F26+1</f>
        <v>46098</v>
      </c>
      <c r="H26" s="100">
        <f>+F26+5</f>
        <v>46102</v>
      </c>
      <c r="I26" s="135"/>
    </row>
    <row r="27" spans="2:9" ht="26.1" customHeight="1" x14ac:dyDescent="0.25">
      <c r="B27" s="135"/>
      <c r="C27" s="135"/>
      <c r="D27" s="101"/>
      <c r="E27" s="102"/>
      <c r="F27" s="100">
        <v>46098</v>
      </c>
      <c r="G27" s="100">
        <f t="shared" ref="G27:G30" si="0">+F27+1</f>
        <v>46099</v>
      </c>
      <c r="H27" s="100">
        <f t="shared" ref="H27:H30" si="1">+F27+5</f>
        <v>46103</v>
      </c>
      <c r="I27" s="135"/>
    </row>
    <row r="28" spans="2:9" ht="26.1" customHeight="1" x14ac:dyDescent="0.25">
      <c r="B28" s="135"/>
      <c r="C28" s="135"/>
      <c r="D28" s="101"/>
      <c r="E28" s="101"/>
      <c r="F28" s="100">
        <v>46099</v>
      </c>
      <c r="G28" s="100">
        <f t="shared" si="0"/>
        <v>46100</v>
      </c>
      <c r="H28" s="100">
        <f t="shared" si="1"/>
        <v>46104</v>
      </c>
      <c r="I28" s="135"/>
    </row>
    <row r="29" spans="2:9" ht="26.1" customHeight="1" x14ac:dyDescent="0.25">
      <c r="B29" s="135"/>
      <c r="C29" s="135"/>
      <c r="D29" s="101"/>
      <c r="E29" s="102"/>
      <c r="F29" s="100">
        <v>46100</v>
      </c>
      <c r="G29" s="100">
        <f t="shared" si="0"/>
        <v>46101</v>
      </c>
      <c r="H29" s="100">
        <f t="shared" si="1"/>
        <v>46105</v>
      </c>
      <c r="I29" s="135"/>
    </row>
    <row r="30" spans="2:9" ht="26.1" customHeight="1" x14ac:dyDescent="0.25">
      <c r="B30" s="135"/>
      <c r="C30" s="135"/>
      <c r="D30" s="135"/>
      <c r="E30" s="135"/>
      <c r="F30" s="100">
        <v>46101</v>
      </c>
      <c r="G30" s="100">
        <f t="shared" si="0"/>
        <v>46102</v>
      </c>
      <c r="H30" s="100">
        <f t="shared" si="1"/>
        <v>46106</v>
      </c>
      <c r="I30" s="135"/>
    </row>
  </sheetData>
  <mergeCells count="3">
    <mergeCell ref="B5:B17"/>
    <mergeCell ref="B20:F20"/>
    <mergeCell ref="B24:I24"/>
  </mergeCells>
  <pageMargins left="0.25" right="0.25" top="0.75" bottom="0.75" header="0.3" footer="0.3"/>
  <pageSetup paperSize="9" scale="6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view="pageBreakPreview" zoomScale="60" zoomScaleNormal="100" workbookViewId="0">
      <selection activeCell="C23" sqref="C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1" bestFit="1" customWidth="1"/>
    <col min="7" max="8" width="14.42578125" bestFit="1" customWidth="1"/>
  </cols>
  <sheetData>
    <row r="1" spans="2:6" x14ac:dyDescent="0.25">
      <c r="C1" s="25" t="s">
        <v>44</v>
      </c>
      <c r="D1" s="26">
        <v>46162</v>
      </c>
    </row>
    <row r="2" spans="2:6" x14ac:dyDescent="0.25">
      <c r="C2" s="27" t="s">
        <v>45</v>
      </c>
      <c r="D2" s="24">
        <v>196</v>
      </c>
    </row>
    <row r="3" spans="2:6" x14ac:dyDescent="0.25">
      <c r="C3" s="28" t="s">
        <v>48</v>
      </c>
      <c r="D3" s="29"/>
    </row>
    <row r="4" spans="2:6" ht="15.75" x14ac:dyDescent="0.25">
      <c r="B4" s="30" t="s">
        <v>16</v>
      </c>
      <c r="C4" s="30" t="s">
        <v>15</v>
      </c>
      <c r="D4" s="30" t="s">
        <v>17</v>
      </c>
      <c r="E4" s="31" t="s">
        <v>18</v>
      </c>
      <c r="F4" s="32" t="s">
        <v>19</v>
      </c>
    </row>
    <row r="5" spans="2:6" ht="26.1" customHeight="1" x14ac:dyDescent="0.25">
      <c r="B5" s="201" t="s">
        <v>98</v>
      </c>
      <c r="C5" s="33" t="s">
        <v>20</v>
      </c>
      <c r="D5" s="22">
        <v>11.38</v>
      </c>
      <c r="E5" s="34"/>
      <c r="F5" s="35"/>
    </row>
    <row r="6" spans="2:6" ht="26.1" customHeight="1" x14ac:dyDescent="0.25">
      <c r="B6" s="202"/>
      <c r="C6" s="33" t="s">
        <v>7</v>
      </c>
      <c r="D6" s="22">
        <v>4</v>
      </c>
      <c r="E6" s="34"/>
      <c r="F6" s="35"/>
    </row>
    <row r="7" spans="2:6" ht="26.1" customHeight="1" x14ac:dyDescent="0.25">
      <c r="B7" s="202"/>
      <c r="C7" s="33" t="s">
        <v>6</v>
      </c>
      <c r="D7" s="22">
        <v>4</v>
      </c>
      <c r="E7" s="34"/>
      <c r="F7" s="35"/>
    </row>
    <row r="8" spans="2:6" ht="26.1" customHeight="1" x14ac:dyDescent="0.25">
      <c r="B8" s="202"/>
      <c r="C8" s="33" t="s">
        <v>10</v>
      </c>
      <c r="D8" s="22">
        <v>4</v>
      </c>
      <c r="E8" s="34"/>
      <c r="F8" s="35"/>
    </row>
    <row r="9" spans="2:6" ht="26.1" customHeight="1" x14ac:dyDescent="0.25">
      <c r="B9" s="202"/>
      <c r="C9" s="33" t="s">
        <v>21</v>
      </c>
      <c r="D9" s="22">
        <v>2.36</v>
      </c>
      <c r="E9" s="34"/>
      <c r="F9" s="35"/>
    </row>
    <row r="10" spans="2:6" ht="26.1" customHeight="1" x14ac:dyDescent="0.25">
      <c r="B10" s="202"/>
      <c r="C10" s="33" t="s">
        <v>5</v>
      </c>
      <c r="D10" s="22">
        <v>8</v>
      </c>
      <c r="E10" s="34"/>
      <c r="F10" s="35"/>
    </row>
    <row r="11" spans="2:6" ht="26.1" customHeight="1" x14ac:dyDescent="0.25">
      <c r="B11" s="202"/>
      <c r="C11" s="33" t="s">
        <v>22</v>
      </c>
      <c r="D11" s="22">
        <v>16</v>
      </c>
      <c r="E11" s="34"/>
      <c r="F11" s="35"/>
    </row>
    <row r="12" spans="2:6" ht="26.1" customHeight="1" x14ac:dyDescent="0.25">
      <c r="B12" s="202"/>
      <c r="C12" s="33" t="s">
        <v>8</v>
      </c>
      <c r="D12" s="22">
        <v>4</v>
      </c>
      <c r="E12" s="34"/>
      <c r="F12" s="35"/>
    </row>
    <row r="13" spans="2:6" ht="26.1" customHeight="1" x14ac:dyDescent="0.25">
      <c r="B13" s="202"/>
      <c r="C13" s="33" t="s">
        <v>23</v>
      </c>
      <c r="D13" s="22">
        <v>4</v>
      </c>
      <c r="E13" s="34"/>
      <c r="F13" s="35"/>
    </row>
    <row r="14" spans="2:6" ht="26.1" customHeight="1" x14ac:dyDescent="0.25">
      <c r="B14" s="202"/>
      <c r="C14" s="33" t="s">
        <v>36</v>
      </c>
      <c r="D14" s="22">
        <v>5.78</v>
      </c>
      <c r="E14" s="34"/>
      <c r="F14" s="35"/>
    </row>
    <row r="15" spans="2:6" ht="26.1" customHeight="1" x14ac:dyDescent="0.25">
      <c r="B15" s="202"/>
      <c r="C15" s="33" t="s">
        <v>9</v>
      </c>
      <c r="D15" s="22">
        <v>4</v>
      </c>
      <c r="E15" s="34"/>
      <c r="F15" s="35"/>
    </row>
    <row r="16" spans="2:6" ht="26.1" customHeight="1" x14ac:dyDescent="0.25">
      <c r="B16" s="202"/>
      <c r="C16" s="33" t="s">
        <v>24</v>
      </c>
      <c r="D16" s="22">
        <v>4</v>
      </c>
      <c r="E16" s="34"/>
      <c r="F16" s="35"/>
    </row>
    <row r="17" spans="2:9" ht="26.1" customHeight="1" x14ac:dyDescent="0.25">
      <c r="B17" s="203"/>
      <c r="C17" s="33" t="s">
        <v>37</v>
      </c>
      <c r="D17" s="22">
        <v>1.2</v>
      </c>
      <c r="E17" s="34"/>
      <c r="F17" s="35"/>
    </row>
    <row r="18" spans="2:9" x14ac:dyDescent="0.25">
      <c r="C18" s="109"/>
      <c r="D18" s="36" t="s">
        <v>11</v>
      </c>
      <c r="E18" s="36">
        <f>SUM(E5:E17)</f>
        <v>0</v>
      </c>
      <c r="F18" s="36">
        <f>SUM(F5:F17)</f>
        <v>0</v>
      </c>
    </row>
    <row r="19" spans="2:9" ht="15.75" thickBot="1" x14ac:dyDescent="0.3"/>
    <row r="20" spans="2:9" ht="15.75" thickBot="1" x14ac:dyDescent="0.3">
      <c r="B20" s="199" t="s">
        <v>40</v>
      </c>
      <c r="C20" s="200"/>
      <c r="D20" s="200"/>
      <c r="E20" s="200"/>
      <c r="F20" s="200"/>
    </row>
    <row r="21" spans="2:9" ht="26.1" customHeight="1" x14ac:dyDescent="0.25">
      <c r="B21" s="18" t="s">
        <v>38</v>
      </c>
      <c r="C21" s="16"/>
      <c r="D21" s="17"/>
      <c r="E21" s="17"/>
      <c r="F21" s="37"/>
    </row>
    <row r="22" spans="2:9" ht="26.1" customHeight="1" thickBot="1" x14ac:dyDescent="0.3">
      <c r="B22" s="19" t="s">
        <v>39</v>
      </c>
      <c r="C22" s="9">
        <v>0.98</v>
      </c>
      <c r="D22" s="10"/>
      <c r="E22" s="10"/>
      <c r="F22" s="38"/>
    </row>
    <row r="24" spans="2:9" ht="15.75" x14ac:dyDescent="0.25">
      <c r="B24" s="198" t="s">
        <v>75</v>
      </c>
      <c r="C24" s="198"/>
      <c r="D24" s="198"/>
      <c r="E24" s="198"/>
      <c r="F24" s="198"/>
      <c r="G24" s="198"/>
      <c r="H24" s="198"/>
      <c r="I24" s="198"/>
    </row>
    <row r="25" spans="2:9" ht="26.1" customHeight="1" x14ac:dyDescent="0.25">
      <c r="B25" s="103" t="s">
        <v>76</v>
      </c>
      <c r="C25" s="103" t="s">
        <v>16</v>
      </c>
      <c r="D25" s="103" t="s">
        <v>19</v>
      </c>
      <c r="E25" s="103" t="s">
        <v>77</v>
      </c>
      <c r="F25" s="103" t="s">
        <v>78</v>
      </c>
      <c r="G25" s="103" t="s">
        <v>79</v>
      </c>
      <c r="H25" s="103" t="s">
        <v>80</v>
      </c>
      <c r="I25" s="103" t="s">
        <v>1</v>
      </c>
    </row>
    <row r="26" spans="2:9" ht="26.1" customHeight="1" x14ac:dyDescent="0.25">
      <c r="B26" s="135"/>
      <c r="C26" s="135"/>
      <c r="D26" s="135"/>
      <c r="E26" s="135"/>
      <c r="F26" s="100">
        <v>46097</v>
      </c>
      <c r="G26" s="100">
        <f>+F26+1</f>
        <v>46098</v>
      </c>
      <c r="H26" s="100">
        <f>+F26+5</f>
        <v>46102</v>
      </c>
      <c r="I26" s="135"/>
    </row>
    <row r="27" spans="2:9" ht="26.1" customHeight="1" x14ac:dyDescent="0.25">
      <c r="B27" s="135"/>
      <c r="C27" s="135"/>
      <c r="D27" s="101"/>
      <c r="E27" s="102"/>
      <c r="F27" s="100">
        <v>46098</v>
      </c>
      <c r="G27" s="100">
        <f t="shared" ref="G27:G30" si="0">+F27+1</f>
        <v>46099</v>
      </c>
      <c r="H27" s="100">
        <f t="shared" ref="H27:H30" si="1">+F27+5</f>
        <v>46103</v>
      </c>
      <c r="I27" s="135"/>
    </row>
    <row r="28" spans="2:9" ht="26.1" customHeight="1" x14ac:dyDescent="0.25">
      <c r="B28" s="135"/>
      <c r="C28" s="135"/>
      <c r="D28" s="101"/>
      <c r="E28" s="101"/>
      <c r="F28" s="100">
        <v>46099</v>
      </c>
      <c r="G28" s="100">
        <f t="shared" si="0"/>
        <v>46100</v>
      </c>
      <c r="H28" s="100">
        <f t="shared" si="1"/>
        <v>46104</v>
      </c>
      <c r="I28" s="135"/>
    </row>
    <row r="29" spans="2:9" ht="26.1" customHeight="1" x14ac:dyDescent="0.25">
      <c r="B29" s="135"/>
      <c r="C29" s="135"/>
      <c r="D29" s="101"/>
      <c r="E29" s="102"/>
      <c r="F29" s="100">
        <v>46100</v>
      </c>
      <c r="G29" s="100">
        <f t="shared" si="0"/>
        <v>46101</v>
      </c>
      <c r="H29" s="100">
        <f t="shared" si="1"/>
        <v>46105</v>
      </c>
      <c r="I29" s="135"/>
    </row>
    <row r="30" spans="2:9" ht="26.1" customHeight="1" x14ac:dyDescent="0.25">
      <c r="B30" s="135"/>
      <c r="C30" s="135"/>
      <c r="D30" s="135"/>
      <c r="E30" s="135"/>
      <c r="F30" s="100">
        <v>46101</v>
      </c>
      <c r="G30" s="100">
        <f t="shared" si="0"/>
        <v>46102</v>
      </c>
      <c r="H30" s="100">
        <f t="shared" si="1"/>
        <v>46106</v>
      </c>
      <c r="I30" s="135"/>
    </row>
  </sheetData>
  <mergeCells count="3">
    <mergeCell ref="B5:B17"/>
    <mergeCell ref="B20:F20"/>
    <mergeCell ref="B24:I24"/>
  </mergeCells>
  <pageMargins left="0.25" right="0.25" top="0.75" bottom="0.75" header="0.3" footer="0.3"/>
  <pageSetup paperSize="9" scale="6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0"/>
  <sheetViews>
    <sheetView tabSelected="1" view="pageBreakPreview" zoomScale="60" zoomScaleNormal="100" workbookViewId="0">
      <selection activeCell="C23" sqref="C23"/>
    </sheetView>
  </sheetViews>
  <sheetFormatPr baseColWidth="10" defaultRowHeight="15" x14ac:dyDescent="0.25"/>
  <cols>
    <col min="2" max="2" width="18.28515625" bestFit="1" customWidth="1"/>
    <col min="3" max="3" width="28.7109375" bestFit="1" customWidth="1"/>
    <col min="4" max="4" width="35.140625" bestFit="1" customWidth="1"/>
    <col min="5" max="5" width="69.42578125" customWidth="1"/>
    <col min="6" max="6" width="14.42578125" style="21" bestFit="1" customWidth="1"/>
    <col min="7" max="8" width="14.42578125" bestFit="1" customWidth="1"/>
  </cols>
  <sheetData>
    <row r="1" spans="2:6" x14ac:dyDescent="0.25">
      <c r="C1" s="25" t="s">
        <v>44</v>
      </c>
      <c r="D1" s="26">
        <v>46162</v>
      </c>
    </row>
    <row r="2" spans="2:6" x14ac:dyDescent="0.25">
      <c r="C2" s="27" t="s">
        <v>45</v>
      </c>
      <c r="D2" s="24">
        <v>197</v>
      </c>
    </row>
    <row r="3" spans="2:6" x14ac:dyDescent="0.25">
      <c r="C3" s="28" t="s">
        <v>48</v>
      </c>
      <c r="D3" s="29"/>
    </row>
    <row r="4" spans="2:6" ht="15.75" x14ac:dyDescent="0.25">
      <c r="B4" s="30" t="s">
        <v>16</v>
      </c>
      <c r="C4" s="30" t="s">
        <v>15</v>
      </c>
      <c r="D4" s="30" t="s">
        <v>17</v>
      </c>
      <c r="E4" s="31" t="s">
        <v>18</v>
      </c>
      <c r="F4" s="32" t="s">
        <v>19</v>
      </c>
    </row>
    <row r="5" spans="2:6" ht="26.1" customHeight="1" x14ac:dyDescent="0.25">
      <c r="B5" s="201" t="s">
        <v>99</v>
      </c>
      <c r="C5" s="33" t="s">
        <v>20</v>
      </c>
      <c r="D5" s="22">
        <v>4.72</v>
      </c>
      <c r="E5" s="34"/>
      <c r="F5" s="35"/>
    </row>
    <row r="6" spans="2:6" ht="26.1" customHeight="1" x14ac:dyDescent="0.25">
      <c r="B6" s="202"/>
      <c r="C6" s="33" t="s">
        <v>7</v>
      </c>
      <c r="D6" s="22">
        <v>2</v>
      </c>
      <c r="E6" s="34"/>
      <c r="F6" s="35"/>
    </row>
    <row r="7" spans="2:6" ht="26.1" customHeight="1" x14ac:dyDescent="0.25">
      <c r="B7" s="202"/>
      <c r="C7" s="33" t="s">
        <v>6</v>
      </c>
      <c r="D7" s="22">
        <v>2</v>
      </c>
      <c r="E7" s="34"/>
      <c r="F7" s="35"/>
    </row>
    <row r="8" spans="2:6" ht="26.1" customHeight="1" x14ac:dyDescent="0.25">
      <c r="B8" s="202"/>
      <c r="C8" s="33" t="s">
        <v>10</v>
      </c>
      <c r="D8" s="22">
        <v>2</v>
      </c>
      <c r="E8" s="34"/>
      <c r="F8" s="35"/>
    </row>
    <row r="9" spans="2:6" ht="26.1" customHeight="1" x14ac:dyDescent="0.25">
      <c r="B9" s="202"/>
      <c r="C9" s="33" t="s">
        <v>21</v>
      </c>
      <c r="D9" s="22">
        <v>1.96</v>
      </c>
      <c r="E9" s="34"/>
      <c r="F9" s="35"/>
    </row>
    <row r="10" spans="2:6" ht="26.1" customHeight="1" x14ac:dyDescent="0.25">
      <c r="B10" s="202"/>
      <c r="C10" s="33" t="s">
        <v>5</v>
      </c>
      <c r="D10" s="22">
        <v>4</v>
      </c>
      <c r="E10" s="34"/>
      <c r="F10" s="35"/>
    </row>
    <row r="11" spans="2:6" ht="26.1" customHeight="1" x14ac:dyDescent="0.25">
      <c r="B11" s="202"/>
      <c r="C11" s="33" t="s">
        <v>22</v>
      </c>
      <c r="D11" s="22">
        <v>8</v>
      </c>
      <c r="E11" s="34"/>
      <c r="F11" s="35"/>
    </row>
    <row r="12" spans="2:6" ht="26.1" customHeight="1" x14ac:dyDescent="0.25">
      <c r="B12" s="202"/>
      <c r="C12" s="33" t="s">
        <v>8</v>
      </c>
      <c r="D12" s="22">
        <v>2</v>
      </c>
      <c r="E12" s="34"/>
      <c r="F12" s="35"/>
    </row>
    <row r="13" spans="2:6" ht="26.1" customHeight="1" x14ac:dyDescent="0.25">
      <c r="B13" s="202"/>
      <c r="C13" s="33" t="s">
        <v>23</v>
      </c>
      <c r="D13" s="22">
        <v>2</v>
      </c>
      <c r="E13" s="34"/>
      <c r="F13" s="35"/>
    </row>
    <row r="14" spans="2:6" ht="26.1" customHeight="1" x14ac:dyDescent="0.25">
      <c r="B14" s="202"/>
      <c r="C14" s="33" t="s">
        <v>36</v>
      </c>
      <c r="D14" s="22">
        <v>2.2000000000000002</v>
      </c>
      <c r="E14" s="34"/>
      <c r="F14" s="35"/>
    </row>
    <row r="15" spans="2:6" ht="26.1" customHeight="1" x14ac:dyDescent="0.25">
      <c r="B15" s="202"/>
      <c r="C15" s="33" t="s">
        <v>9</v>
      </c>
      <c r="D15" s="22">
        <v>2</v>
      </c>
      <c r="E15" s="34"/>
      <c r="F15" s="35"/>
    </row>
    <row r="16" spans="2:6" ht="26.1" customHeight="1" x14ac:dyDescent="0.25">
      <c r="B16" s="202"/>
      <c r="C16" s="33" t="s">
        <v>24</v>
      </c>
      <c r="D16" s="22">
        <v>2</v>
      </c>
      <c r="E16" s="34"/>
      <c r="F16" s="35"/>
    </row>
    <row r="17" spans="2:9" ht="26.1" customHeight="1" x14ac:dyDescent="0.25">
      <c r="B17" s="203"/>
      <c r="C17" s="33" t="s">
        <v>37</v>
      </c>
      <c r="D17" s="22">
        <v>0.7</v>
      </c>
      <c r="E17" s="34"/>
      <c r="F17" s="35"/>
    </row>
    <row r="18" spans="2:9" x14ac:dyDescent="0.25">
      <c r="C18" s="109"/>
      <c r="D18" s="36" t="s">
        <v>11</v>
      </c>
      <c r="E18" s="36">
        <f>SUM(E5:E17)</f>
        <v>0</v>
      </c>
      <c r="F18" s="36">
        <f>SUM(F5:F17)</f>
        <v>0</v>
      </c>
    </row>
    <row r="19" spans="2:9" ht="15.75" thickBot="1" x14ac:dyDescent="0.3"/>
    <row r="20" spans="2:9" ht="15.75" thickBot="1" x14ac:dyDescent="0.3">
      <c r="B20" s="199" t="s">
        <v>40</v>
      </c>
      <c r="C20" s="200"/>
      <c r="D20" s="200"/>
      <c r="E20" s="200"/>
      <c r="F20" s="200"/>
    </row>
    <row r="21" spans="2:9" ht="26.1" customHeight="1" x14ac:dyDescent="0.25">
      <c r="B21" s="18" t="s">
        <v>38</v>
      </c>
      <c r="C21" s="16"/>
      <c r="D21" s="17"/>
      <c r="E21" s="17"/>
      <c r="F21" s="37"/>
    </row>
    <row r="22" spans="2:9" ht="26.1" customHeight="1" thickBot="1" x14ac:dyDescent="0.3">
      <c r="B22" s="19" t="s">
        <v>39</v>
      </c>
      <c r="C22" s="9">
        <v>0.4</v>
      </c>
      <c r="D22" s="10"/>
      <c r="E22" s="10"/>
      <c r="F22" s="38"/>
    </row>
    <row r="24" spans="2:9" ht="15.75" x14ac:dyDescent="0.25">
      <c r="B24" s="198" t="s">
        <v>75</v>
      </c>
      <c r="C24" s="198"/>
      <c r="D24" s="198"/>
      <c r="E24" s="198"/>
      <c r="F24" s="198"/>
      <c r="G24" s="198"/>
      <c r="H24" s="198"/>
      <c r="I24" s="198"/>
    </row>
    <row r="25" spans="2:9" ht="26.1" customHeight="1" x14ac:dyDescent="0.25">
      <c r="B25" s="103" t="s">
        <v>76</v>
      </c>
      <c r="C25" s="103" t="s">
        <v>16</v>
      </c>
      <c r="D25" s="103" t="s">
        <v>19</v>
      </c>
      <c r="E25" s="103" t="s">
        <v>77</v>
      </c>
      <c r="F25" s="103" t="s">
        <v>78</v>
      </c>
      <c r="G25" s="103" t="s">
        <v>79</v>
      </c>
      <c r="H25" s="103" t="s">
        <v>80</v>
      </c>
      <c r="I25" s="103" t="s">
        <v>1</v>
      </c>
    </row>
    <row r="26" spans="2:9" ht="26.1" customHeight="1" x14ac:dyDescent="0.25">
      <c r="B26" s="135"/>
      <c r="C26" s="135"/>
      <c r="D26" s="135"/>
      <c r="E26" s="135"/>
      <c r="F26" s="100">
        <v>46097</v>
      </c>
      <c r="G26" s="100">
        <f>+F26+1</f>
        <v>46098</v>
      </c>
      <c r="H26" s="100">
        <f>+F26+5</f>
        <v>46102</v>
      </c>
      <c r="I26" s="135"/>
    </row>
    <row r="27" spans="2:9" ht="26.1" customHeight="1" x14ac:dyDescent="0.25">
      <c r="B27" s="135"/>
      <c r="C27" s="135"/>
      <c r="D27" s="101"/>
      <c r="E27" s="102"/>
      <c r="F27" s="100">
        <v>46098</v>
      </c>
      <c r="G27" s="100">
        <f t="shared" ref="G27:G30" si="0">+F27+1</f>
        <v>46099</v>
      </c>
      <c r="H27" s="100">
        <f t="shared" ref="H27:H30" si="1">+F27+5</f>
        <v>46103</v>
      </c>
      <c r="I27" s="135"/>
    </row>
    <row r="28" spans="2:9" ht="26.1" customHeight="1" x14ac:dyDescent="0.25">
      <c r="B28" s="135"/>
      <c r="C28" s="135"/>
      <c r="D28" s="101"/>
      <c r="E28" s="101"/>
      <c r="F28" s="100">
        <v>46099</v>
      </c>
      <c r="G28" s="100">
        <f t="shared" si="0"/>
        <v>46100</v>
      </c>
      <c r="H28" s="100">
        <f t="shared" si="1"/>
        <v>46104</v>
      </c>
      <c r="I28" s="135"/>
    </row>
    <row r="29" spans="2:9" ht="26.1" customHeight="1" x14ac:dyDescent="0.25">
      <c r="B29" s="135"/>
      <c r="C29" s="135"/>
      <c r="D29" s="101"/>
      <c r="E29" s="102"/>
      <c r="F29" s="100">
        <v>46100</v>
      </c>
      <c r="G29" s="100">
        <f t="shared" si="0"/>
        <v>46101</v>
      </c>
      <c r="H29" s="100">
        <f t="shared" si="1"/>
        <v>46105</v>
      </c>
      <c r="I29" s="135"/>
    </row>
    <row r="30" spans="2:9" ht="26.1" customHeight="1" x14ac:dyDescent="0.25">
      <c r="B30" s="135"/>
      <c r="C30" s="135"/>
      <c r="D30" s="135"/>
      <c r="E30" s="135"/>
      <c r="F30" s="100">
        <v>46101</v>
      </c>
      <c r="G30" s="100">
        <f t="shared" si="0"/>
        <v>46102</v>
      </c>
      <c r="H30" s="100">
        <f t="shared" si="1"/>
        <v>46106</v>
      </c>
      <c r="I30" s="135"/>
    </row>
  </sheetData>
  <mergeCells count="3">
    <mergeCell ref="B5:B17"/>
    <mergeCell ref="B20:F20"/>
    <mergeCell ref="B24:I24"/>
  </mergeCells>
  <pageMargins left="0.25" right="0.25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13</vt:i4>
      </vt:variant>
    </vt:vector>
  </HeadingPairs>
  <TitlesOfParts>
    <vt:vector size="29" baseType="lpstr">
      <vt:lpstr>TROPA 193</vt:lpstr>
      <vt:lpstr>TROPA 194</vt:lpstr>
      <vt:lpstr>TROPA 195</vt:lpstr>
      <vt:lpstr>TROPA 196</vt:lpstr>
      <vt:lpstr>TROPA 197</vt:lpstr>
      <vt:lpstr>TROPA 198</vt:lpstr>
      <vt:lpstr>TROPA 199</vt:lpstr>
      <vt:lpstr>ROMANEO 1</vt:lpstr>
      <vt:lpstr>ROMANEO (2)</vt:lpstr>
      <vt:lpstr>denticion 1</vt:lpstr>
      <vt:lpstr>denticion(2)</vt:lpstr>
      <vt:lpstr>menudencias (1)</vt:lpstr>
      <vt:lpstr>menudencias (2)</vt:lpstr>
      <vt:lpstr>menudencias (3)</vt:lpstr>
      <vt:lpstr>menudencias (4)</vt:lpstr>
      <vt:lpstr>menudencias (5)</vt:lpstr>
      <vt:lpstr>'menudencias (1)'!Área_de_impresión</vt:lpstr>
      <vt:lpstr>'menudencias (2)'!Área_de_impresión</vt:lpstr>
      <vt:lpstr>'menudencias (3)'!Área_de_impresión</vt:lpstr>
      <vt:lpstr>'menudencias (4)'!Área_de_impresión</vt:lpstr>
      <vt:lpstr>'menudencias (5)'!Área_de_impresión</vt:lpstr>
      <vt:lpstr>'ROMANEO 1'!Área_de_impresión</vt:lpstr>
      <vt:lpstr>'TROPA 193'!Área_de_impresión</vt:lpstr>
      <vt:lpstr>'TROPA 194'!Área_de_impresión</vt:lpstr>
      <vt:lpstr>'TROPA 195'!Área_de_impresión</vt:lpstr>
      <vt:lpstr>'TROPA 196'!Área_de_impresión</vt:lpstr>
      <vt:lpstr>'TROPA 197'!Área_de_impresión</vt:lpstr>
      <vt:lpstr>'TROPA 198'!Área_de_impresión</vt:lpstr>
      <vt:lpstr>'TROPA 199'!Área_de_impresión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Coordinacion Solemar</cp:lastModifiedBy>
  <cp:lastPrinted>2026-05-20T18:28:54Z</cp:lastPrinted>
  <dcterms:created xsi:type="dcterms:W3CDTF">2025-06-18T19:04:42Z</dcterms:created>
  <dcterms:modified xsi:type="dcterms:W3CDTF">2026-05-20T19:03:11Z</dcterms:modified>
</cp:coreProperties>
</file>