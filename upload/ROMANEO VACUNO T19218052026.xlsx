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60" windowWidth="20640" windowHeight="11100" tabRatio="940" activeTab="4"/>
  </bookViews>
  <sheets>
    <sheet name="TROPA 192 " sheetId="13" r:id="rId1"/>
    <sheet name="TROPA 192  A PROVEEDOR" sheetId="24" r:id="rId2"/>
    <sheet name="ROMANEO 1" sheetId="1" r:id="rId3"/>
    <sheet name="denticion 1" sheetId="16" r:id="rId4"/>
    <sheet name="menudencias (1)" sheetId="10" r:id="rId5"/>
  </sheets>
  <definedNames>
    <definedName name="_xlnm.Print_Area" localSheetId="4">'menudencias (1)'!$B$1:$I$30</definedName>
    <definedName name="_xlnm.Print_Area" localSheetId="0">'TROPA 192 '!$B$2:$N$54</definedName>
    <definedName name="_xlnm.Print_Area" localSheetId="1">'TROPA 192  A PROVEEDOR'!$B$2:$N$54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7" i="10" l="1"/>
  <c r="E16" i="10"/>
  <c r="E15" i="10"/>
  <c r="E14" i="10"/>
  <c r="E13" i="10"/>
  <c r="E12" i="10"/>
  <c r="E10" i="10"/>
  <c r="E8" i="10"/>
  <c r="E7" i="10"/>
  <c r="E6" i="10"/>
  <c r="E5" i="10"/>
  <c r="D14" i="10" l="1"/>
  <c r="D8" i="10"/>
  <c r="D5" i="10"/>
  <c r="P56" i="24" l="1"/>
  <c r="P57" i="24"/>
  <c r="P55" i="24"/>
  <c r="J26" i="24"/>
  <c r="K26" i="24"/>
  <c r="J27" i="24"/>
  <c r="K27" i="24"/>
  <c r="J28" i="24"/>
  <c r="K28" i="24"/>
  <c r="J29" i="24"/>
  <c r="K29" i="24"/>
  <c r="J30" i="24"/>
  <c r="K30" i="24"/>
  <c r="J31" i="24"/>
  <c r="K31" i="24"/>
  <c r="J32" i="24"/>
  <c r="K32" i="24"/>
  <c r="J33" i="24"/>
  <c r="K33" i="24"/>
  <c r="J34" i="24"/>
  <c r="K34" i="24"/>
  <c r="J35" i="24"/>
  <c r="K35" i="24"/>
  <c r="J36" i="24"/>
  <c r="K36" i="24"/>
  <c r="J37" i="24"/>
  <c r="K37" i="24"/>
  <c r="J38" i="24"/>
  <c r="K38" i="24"/>
  <c r="J39" i="24"/>
  <c r="K39" i="24"/>
  <c r="J40" i="24"/>
  <c r="K40" i="24"/>
  <c r="J41" i="24"/>
  <c r="K41" i="24"/>
  <c r="J42" i="24"/>
  <c r="K42" i="24"/>
  <c r="J43" i="24"/>
  <c r="K43" i="24"/>
  <c r="J44" i="24"/>
  <c r="K44" i="24"/>
  <c r="J45" i="24"/>
  <c r="K45" i="24"/>
  <c r="J46" i="24"/>
  <c r="K46" i="24"/>
  <c r="J47" i="24"/>
  <c r="K47" i="24"/>
  <c r="J48" i="24"/>
  <c r="K48" i="24"/>
  <c r="J49" i="24"/>
  <c r="K49" i="24"/>
  <c r="J50" i="24"/>
  <c r="K50" i="24"/>
  <c r="J51" i="24"/>
  <c r="K51" i="24"/>
  <c r="J52" i="24"/>
  <c r="K52" i="24"/>
  <c r="J53" i="24"/>
  <c r="K53" i="24"/>
  <c r="J54" i="24"/>
  <c r="K54" i="24"/>
  <c r="K25" i="24"/>
  <c r="J25" i="24"/>
  <c r="I82" i="24"/>
  <c r="K73" i="24"/>
  <c r="J73" i="24"/>
  <c r="I73" i="24"/>
  <c r="K55" i="24"/>
  <c r="J55" i="24"/>
  <c r="I55" i="24"/>
  <c r="D55" i="24"/>
  <c r="H78" i="24" s="1"/>
  <c r="L54" i="24"/>
  <c r="M54" i="24" s="1"/>
  <c r="L53" i="24"/>
  <c r="M53" i="24" s="1"/>
  <c r="L52" i="24"/>
  <c r="M52" i="24" s="1"/>
  <c r="L51" i="24"/>
  <c r="M51" i="24" s="1"/>
  <c r="L50" i="24"/>
  <c r="M50" i="24" s="1"/>
  <c r="L49" i="24"/>
  <c r="M49" i="24" s="1"/>
  <c r="L48" i="24"/>
  <c r="M48" i="24" s="1"/>
  <c r="L47" i="24"/>
  <c r="M47" i="24" s="1"/>
  <c r="L46" i="24"/>
  <c r="M46" i="24" s="1"/>
  <c r="L45" i="24"/>
  <c r="M45" i="24" s="1"/>
  <c r="L44" i="24"/>
  <c r="M44" i="24" s="1"/>
  <c r="L43" i="24"/>
  <c r="M43" i="24" s="1"/>
  <c r="L42" i="24"/>
  <c r="M42" i="24" s="1"/>
  <c r="L41" i="24"/>
  <c r="M41" i="24" s="1"/>
  <c r="L40" i="24"/>
  <c r="M40" i="24" s="1"/>
  <c r="L39" i="24"/>
  <c r="M39" i="24" s="1"/>
  <c r="L38" i="24"/>
  <c r="M38" i="24" s="1"/>
  <c r="L37" i="24"/>
  <c r="M37" i="24" s="1"/>
  <c r="L36" i="24"/>
  <c r="M36" i="24" s="1"/>
  <c r="L35" i="24"/>
  <c r="M35" i="24" s="1"/>
  <c r="L34" i="24"/>
  <c r="M34" i="24" s="1"/>
  <c r="L33" i="24"/>
  <c r="M33" i="24" s="1"/>
  <c r="L32" i="24"/>
  <c r="M32" i="24" s="1"/>
  <c r="L31" i="24"/>
  <c r="M31" i="24" s="1"/>
  <c r="L30" i="24"/>
  <c r="M30" i="24" s="1"/>
  <c r="L29" i="24"/>
  <c r="M29" i="24" s="1"/>
  <c r="L28" i="24"/>
  <c r="M28" i="24" s="1"/>
  <c r="L27" i="24"/>
  <c r="M27" i="24" s="1"/>
  <c r="L26" i="24"/>
  <c r="M26" i="24" s="1"/>
  <c r="L25" i="24"/>
  <c r="L55" i="24" s="1"/>
  <c r="L20" i="24"/>
  <c r="K20" i="24"/>
  <c r="L19" i="24"/>
  <c r="K19" i="24"/>
  <c r="L18" i="24"/>
  <c r="K18" i="24"/>
  <c r="L17" i="24"/>
  <c r="K17" i="24"/>
  <c r="E17" i="24"/>
  <c r="L16" i="24"/>
  <c r="K16" i="24"/>
  <c r="L15" i="24"/>
  <c r="K15" i="24"/>
  <c r="L4" i="24" l="1"/>
  <c r="M55" i="24"/>
  <c r="E20" i="24"/>
  <c r="E18" i="24"/>
  <c r="M25" i="24"/>
  <c r="K15" i="13"/>
  <c r="E19" i="24" l="1"/>
  <c r="L3" i="24"/>
  <c r="I82" i="13"/>
  <c r="K73" i="13"/>
  <c r="J73" i="13"/>
  <c r="I73" i="13"/>
  <c r="K55" i="13"/>
  <c r="J55" i="13"/>
  <c r="I55" i="13"/>
  <c r="E17" i="13" s="1"/>
  <c r="D55" i="13"/>
  <c r="H78" i="13" s="1"/>
  <c r="L54" i="13"/>
  <c r="M54" i="13" s="1"/>
  <c r="L53" i="13"/>
  <c r="M53" i="13" s="1"/>
  <c r="L52" i="13"/>
  <c r="M52" i="13" s="1"/>
  <c r="L51" i="13"/>
  <c r="M51" i="13" s="1"/>
  <c r="L50" i="13"/>
  <c r="M50" i="13" s="1"/>
  <c r="L49" i="13"/>
  <c r="M49" i="13" s="1"/>
  <c r="L48" i="13"/>
  <c r="M48" i="13" s="1"/>
  <c r="L47" i="13"/>
  <c r="M47" i="13" s="1"/>
  <c r="L46" i="13"/>
  <c r="M46" i="13" s="1"/>
  <c r="L45" i="13"/>
  <c r="M45" i="13" s="1"/>
  <c r="L44" i="13"/>
  <c r="M44" i="13" s="1"/>
  <c r="L43" i="13"/>
  <c r="M43" i="13" s="1"/>
  <c r="L42" i="13"/>
  <c r="M42" i="13" s="1"/>
  <c r="L41" i="13"/>
  <c r="M41" i="13" s="1"/>
  <c r="L40" i="13"/>
  <c r="M40" i="13" s="1"/>
  <c r="L39" i="13"/>
  <c r="M39" i="13" s="1"/>
  <c r="L38" i="13"/>
  <c r="M38" i="13" s="1"/>
  <c r="L37" i="13"/>
  <c r="M37" i="13" s="1"/>
  <c r="L36" i="13"/>
  <c r="M36" i="13" s="1"/>
  <c r="L35" i="13"/>
  <c r="M35" i="13" s="1"/>
  <c r="L34" i="13"/>
  <c r="M34" i="13" s="1"/>
  <c r="L33" i="13"/>
  <c r="M33" i="13" s="1"/>
  <c r="L32" i="13"/>
  <c r="M32" i="13" s="1"/>
  <c r="L31" i="13"/>
  <c r="M31" i="13" s="1"/>
  <c r="L30" i="13"/>
  <c r="M30" i="13" s="1"/>
  <c r="L29" i="13"/>
  <c r="M29" i="13" s="1"/>
  <c r="L28" i="13"/>
  <c r="M28" i="13" s="1"/>
  <c r="L27" i="13"/>
  <c r="M27" i="13" s="1"/>
  <c r="L26" i="13"/>
  <c r="M26" i="13" s="1"/>
  <c r="L25" i="13"/>
  <c r="M25" i="13" s="1"/>
  <c r="L20" i="13"/>
  <c r="K20" i="13"/>
  <c r="L19" i="13"/>
  <c r="K19" i="13"/>
  <c r="L18" i="13"/>
  <c r="K18" i="13"/>
  <c r="L17" i="13"/>
  <c r="K17" i="13"/>
  <c r="K16" i="13"/>
  <c r="L15" i="13"/>
  <c r="L16" i="13" l="1"/>
  <c r="L55" i="13"/>
  <c r="H27" i="10"/>
  <c r="H28" i="10"/>
  <c r="H29" i="10"/>
  <c r="H30" i="10"/>
  <c r="G27" i="10"/>
  <c r="G28" i="10"/>
  <c r="G29" i="10"/>
  <c r="G30" i="10"/>
  <c r="H26" i="10"/>
  <c r="G26" i="10"/>
  <c r="E20" i="13" l="1"/>
  <c r="L4" i="13"/>
  <c r="M55" i="13"/>
  <c r="E18" i="13"/>
  <c r="E19" i="13" l="1"/>
  <c r="L3" i="13"/>
  <c r="F18" i="10"/>
  <c r="E18" i="10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6" i="16" l="1"/>
  <c r="B7" i="16" s="1"/>
  <c r="B8" i="16" s="1"/>
  <c r="B9" i="16" s="1"/>
  <c r="B10" i="16" s="1"/>
  <c r="B11" i="16" s="1"/>
  <c r="B12" i="16" s="1"/>
  <c r="B13" i="16" s="1"/>
  <c r="B14" i="16" s="1"/>
  <c r="B15" i="16" s="1"/>
  <c r="B16" i="16" s="1"/>
  <c r="B17" i="16" s="1"/>
  <c r="B18" i="16" s="1"/>
  <c r="B19" i="16" s="1"/>
  <c r="B20" i="16" s="1"/>
  <c r="B21" i="16" s="1"/>
  <c r="B22" i="16" s="1"/>
  <c r="B23" i="16" s="1"/>
  <c r="B24" i="16" s="1"/>
  <c r="B25" i="16" s="1"/>
  <c r="B26" i="16" s="1"/>
  <c r="B27" i="16" s="1"/>
  <c r="B28" i="16" s="1"/>
  <c r="B29" i="16" s="1"/>
  <c r="B30" i="16" s="1"/>
  <c r="B31" i="16" s="1"/>
  <c r="B32" i="16" s="1"/>
  <c r="B33" i="16" s="1"/>
  <c r="B34" i="16" s="1"/>
</calcChain>
</file>

<file path=xl/comments1.xml><?xml version="1.0" encoding="utf-8"?>
<comments xmlns="http://schemas.openxmlformats.org/spreadsheetml/2006/main">
  <authors>
    <author>Usuario</author>
  </authors>
  <commentList>
    <comment ref="I82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Usuario</author>
  </authors>
  <commentList>
    <comment ref="I82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<sst xmlns="http://schemas.openxmlformats.org/spreadsheetml/2006/main" count="498" uniqueCount="135">
  <si>
    <t>N° GARRON</t>
  </si>
  <si>
    <t>TROPA</t>
  </si>
  <si>
    <t>KG 1/2 A</t>
  </si>
  <si>
    <t>KG 1/2 B</t>
  </si>
  <si>
    <t>ROMANEO FAENA BOVINA</t>
  </si>
  <si>
    <t>RIÑON</t>
  </si>
  <si>
    <t>HIGADO</t>
  </si>
  <si>
    <t>CORAZON</t>
  </si>
  <si>
    <t>TRIPA GORDA</t>
  </si>
  <si>
    <t>RABO</t>
  </si>
  <si>
    <t>LENGUA</t>
  </si>
  <si>
    <t>total</t>
  </si>
  <si>
    <t>KG 1/2 izq</t>
  </si>
  <si>
    <t>KG 1/2 der</t>
  </si>
  <si>
    <t>TIPIFICACION</t>
  </si>
  <si>
    <t>ARTICULO</t>
  </si>
  <si>
    <t>USUARIO</t>
  </si>
  <si>
    <t>GUARDADO EN CAMARA</t>
  </si>
  <si>
    <t>ELABORADO KG</t>
  </si>
  <si>
    <t>BOLSAS</t>
  </si>
  <si>
    <t>CHINCHULIN (KG)</t>
  </si>
  <si>
    <t>MOLLEJAS (KG)</t>
  </si>
  <si>
    <t>TENDON</t>
  </si>
  <si>
    <t>CENTRO DE ENTRAÑA</t>
  </si>
  <si>
    <t>SESOS</t>
  </si>
  <si>
    <t>RINDE</t>
  </si>
  <si>
    <t>PROM.</t>
  </si>
  <si>
    <t>Nº 
GARRON</t>
  </si>
  <si>
    <t>Nº
 ANIMAL</t>
  </si>
  <si>
    <t>TIPO DE ANIMAL</t>
  </si>
  <si>
    <t>Nº CARAVANA</t>
  </si>
  <si>
    <t>KG ENTRADA</t>
  </si>
  <si>
    <t>TOTAL KG</t>
  </si>
  <si>
    <t xml:space="preserve">RINDE
FAENA </t>
  </si>
  <si>
    <t>CANTIDAD</t>
  </si>
  <si>
    <t>HUESO</t>
  </si>
  <si>
    <t>QUIJADA (KG)</t>
  </si>
  <si>
    <t>CARNE DE CABEZA (KG)</t>
  </si>
  <si>
    <t>GRASA</t>
  </si>
  <si>
    <t>BOLSA AZUL</t>
  </si>
  <si>
    <t>PESAJE INTERNO</t>
  </si>
  <si>
    <t>N° CABEZA</t>
  </si>
  <si>
    <t>DIENTES</t>
  </si>
  <si>
    <t xml:space="preserve">FECHA:     </t>
  </si>
  <si>
    <t>FECHA:</t>
  </si>
  <si>
    <t>TROPA:</t>
  </si>
  <si>
    <t>TROPA Nº</t>
  </si>
  <si>
    <t>TIPO</t>
  </si>
  <si>
    <t>LOTE:</t>
  </si>
  <si>
    <t>RAZA</t>
  </si>
  <si>
    <t>Estab. Faenador: Solemar Alimentaria S.A.</t>
  </si>
  <si>
    <t>Matricula: 300</t>
  </si>
  <si>
    <t>Nº SENASA: 3986</t>
  </si>
  <si>
    <t xml:space="preserve">Usuario/Matarife: </t>
  </si>
  <si>
    <t>Productor:</t>
  </si>
  <si>
    <t xml:space="preserve">Matricula: </t>
  </si>
  <si>
    <t>Nº DTE:</t>
  </si>
  <si>
    <t>Nº Guia:</t>
  </si>
  <si>
    <t>Cuartos</t>
  </si>
  <si>
    <t>Kg</t>
  </si>
  <si>
    <t>Nº Tropa:</t>
  </si>
  <si>
    <t>VQ</t>
  </si>
  <si>
    <t>Cantidad Cabeza:</t>
  </si>
  <si>
    <t>NT</t>
  </si>
  <si>
    <t>Kg Vivo entrada:</t>
  </si>
  <si>
    <t>NO</t>
  </si>
  <si>
    <t>Kg 1/2 Res</t>
  </si>
  <si>
    <t>TO</t>
  </si>
  <si>
    <t>Rinde:</t>
  </si>
  <si>
    <t>VA</t>
  </si>
  <si>
    <t>Promedio:</t>
  </si>
  <si>
    <t>MEJ</t>
  </si>
  <si>
    <t>Denticion</t>
  </si>
  <si>
    <t>Clasificacion</t>
  </si>
  <si>
    <t>Fecha Faena:</t>
  </si>
  <si>
    <t>CHINCHU - LAVADITO</t>
  </si>
  <si>
    <t>DESTINO</t>
  </si>
  <si>
    <t>KG</t>
  </si>
  <si>
    <t>F. FAENA</t>
  </si>
  <si>
    <t>F. ELAB.</t>
  </si>
  <si>
    <t>F. VENC.</t>
  </si>
  <si>
    <t>Fecha Ing.:</t>
  </si>
  <si>
    <t>Hora:</t>
  </si>
  <si>
    <t>MENUDENCIA</t>
  </si>
  <si>
    <t>Cantidades</t>
  </si>
  <si>
    <t>Unidad</t>
  </si>
  <si>
    <t>Kg Dec.</t>
  </si>
  <si>
    <t>TOTALES</t>
  </si>
  <si>
    <t>SUBPRODUCTOS</t>
  </si>
  <si>
    <t>UN.</t>
  </si>
  <si>
    <t>CUERO</t>
  </si>
  <si>
    <t>GRASA FAENA</t>
  </si>
  <si>
    <t xml:space="preserve">GRASA DREASING </t>
  </si>
  <si>
    <t>DESPERDICIO DE FAENA</t>
  </si>
  <si>
    <t>DOS DE FIERRO S.A</t>
  </si>
  <si>
    <t>LOGINPET SRL</t>
  </si>
  <si>
    <t>31773562-6</t>
  </si>
  <si>
    <t>G-CHO26-02660</t>
  </si>
  <si>
    <t>NOVILLITO</t>
  </si>
  <si>
    <t>FECHA:        18/05/2026</t>
  </si>
  <si>
    <t>CA</t>
  </si>
  <si>
    <t>HE</t>
  </si>
  <si>
    <t>AA</t>
  </si>
  <si>
    <t>F534</t>
  </si>
  <si>
    <t>C718</t>
  </si>
  <si>
    <t>G018</t>
  </si>
  <si>
    <t>G704</t>
  </si>
  <si>
    <t>G564</t>
  </si>
  <si>
    <t>S/C</t>
  </si>
  <si>
    <t>J027</t>
  </si>
  <si>
    <t>N947</t>
  </si>
  <si>
    <t>K231</t>
  </si>
  <si>
    <t>C721</t>
  </si>
  <si>
    <t>N911</t>
  </si>
  <si>
    <t>L501</t>
  </si>
  <si>
    <t>F586</t>
  </si>
  <si>
    <t>G785</t>
  </si>
  <si>
    <t>E563</t>
  </si>
  <si>
    <t>G650</t>
  </si>
  <si>
    <t>E534</t>
  </si>
  <si>
    <t>N993</t>
  </si>
  <si>
    <t>A460</t>
  </si>
  <si>
    <t>A109</t>
  </si>
  <si>
    <t>E562</t>
  </si>
  <si>
    <t>E546</t>
  </si>
  <si>
    <t>G642</t>
  </si>
  <si>
    <t>F443</t>
  </si>
  <si>
    <t>B717</t>
  </si>
  <si>
    <t>E782</t>
  </si>
  <si>
    <t>F056</t>
  </si>
  <si>
    <t>N694</t>
  </si>
  <si>
    <t>G810</t>
  </si>
  <si>
    <t>2D - NT</t>
  </si>
  <si>
    <t>25 5 DECOMISOS 24.52KG</t>
  </si>
  <si>
    <t>18/05/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</si>
</sst>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2"/>
      <color theme="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0" fillId="0" borderId="12" xfId="0" applyBorder="1"/>
    <xf numFmtId="0" fontId="0" fillId="0" borderId="0" xfId="0" applyFont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1" fillId="0" borderId="17" xfId="0" applyFont="1" applyBorder="1"/>
    <xf numFmtId="0" fontId="1" fillId="0" borderId="6" xfId="0" applyFont="1" applyFill="1" applyBorder="1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0" xfId="0" applyBorder="1" applyAlignment="1">
      <alignment horizontal="center" vertical="center"/>
    </xf>
    <xf numFmtId="0" fontId="0" fillId="0" borderId="30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1" fillId="0" borderId="30" xfId="0" applyFont="1" applyBorder="1" applyAlignment="1">
      <alignment horizontal="right"/>
    </xf>
    <xf numFmtId="14" fontId="0" fillId="0" borderId="30" xfId="0" applyNumberFormat="1" applyBorder="1" applyAlignment="1">
      <alignment horizontal="center"/>
    </xf>
    <xf numFmtId="14" fontId="1" fillId="0" borderId="30" xfId="0" applyNumberFormat="1" applyFont="1" applyBorder="1" applyAlignment="1">
      <alignment horizontal="right"/>
    </xf>
    <xf numFmtId="0" fontId="1" fillId="0" borderId="31" xfId="0" applyFont="1" applyFill="1" applyBorder="1" applyAlignment="1">
      <alignment horizontal="right" vertical="center"/>
    </xf>
    <xf numFmtId="0" fontId="0" fillId="0" borderId="31" xfId="0" applyBorder="1"/>
    <xf numFmtId="0" fontId="2" fillId="0" borderId="30" xfId="0" applyFont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/>
    </xf>
    <xf numFmtId="0" fontId="0" fillId="0" borderId="30" xfId="0" applyBorder="1" applyAlignment="1">
      <alignment horizontal="left" vertical="center"/>
    </xf>
    <xf numFmtId="0" fontId="0" fillId="2" borderId="30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5" xfId="0" applyFont="1" applyBorder="1" applyAlignment="1">
      <alignment horizontal="right" vertical="center"/>
    </xf>
    <xf numFmtId="0" fontId="0" fillId="0" borderId="39" xfId="0" applyFont="1" applyBorder="1" applyAlignment="1">
      <alignment horizontal="center"/>
    </xf>
    <xf numFmtId="0" fontId="0" fillId="0" borderId="28" xfId="0" applyFont="1" applyBorder="1" applyAlignment="1">
      <alignment horizont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0" fontId="6" fillId="0" borderId="0" xfId="0" applyFont="1"/>
    <xf numFmtId="2" fontId="6" fillId="0" borderId="0" xfId="0" applyNumberFormat="1" applyFont="1"/>
    <xf numFmtId="0" fontId="6" fillId="0" borderId="19" xfId="0" applyFont="1" applyBorder="1"/>
    <xf numFmtId="0" fontId="6" fillId="0" borderId="20" xfId="0" applyFont="1" applyBorder="1"/>
    <xf numFmtId="2" fontId="6" fillId="0" borderId="20" xfId="0" applyNumberFormat="1" applyFont="1" applyBorder="1"/>
    <xf numFmtId="0" fontId="6" fillId="0" borderId="21" xfId="0" applyFont="1" applyBorder="1"/>
    <xf numFmtId="0" fontId="6" fillId="0" borderId="22" xfId="0" applyFont="1" applyBorder="1"/>
    <xf numFmtId="0" fontId="6" fillId="0" borderId="0" xfId="0" applyFont="1" applyBorder="1"/>
    <xf numFmtId="0" fontId="7" fillId="0" borderId="42" xfId="0" applyFont="1" applyBorder="1" applyAlignment="1">
      <alignment horizontal="center" vertical="center"/>
    </xf>
    <xf numFmtId="10" fontId="7" fillId="0" borderId="42" xfId="0" applyNumberFormat="1" applyFont="1" applyBorder="1" applyAlignment="1">
      <alignment vertical="center"/>
    </xf>
    <xf numFmtId="0" fontId="6" fillId="0" borderId="23" xfId="0" applyFont="1" applyBorder="1"/>
    <xf numFmtId="2" fontId="6" fillId="0" borderId="0" xfId="0" applyNumberFormat="1" applyFont="1" applyBorder="1"/>
    <xf numFmtId="2" fontId="7" fillId="0" borderId="42" xfId="0" applyNumberFormat="1" applyFont="1" applyBorder="1" applyAlignment="1">
      <alignment vertical="center"/>
    </xf>
    <xf numFmtId="0" fontId="7" fillId="0" borderId="20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6" fillId="0" borderId="24" xfId="0" applyFont="1" applyBorder="1"/>
    <xf numFmtId="0" fontId="6" fillId="0" borderId="25" xfId="0" applyFont="1" applyBorder="1"/>
    <xf numFmtId="2" fontId="6" fillId="0" borderId="25" xfId="0" applyNumberFormat="1" applyFont="1" applyBorder="1"/>
    <xf numFmtId="0" fontId="6" fillId="0" borderId="26" xfId="0" applyFont="1" applyBorder="1"/>
    <xf numFmtId="0" fontId="6" fillId="0" borderId="22" xfId="0" applyFont="1" applyBorder="1" applyAlignment="1">
      <alignment horizontal="right"/>
    </xf>
    <xf numFmtId="2" fontId="6" fillId="0" borderId="25" xfId="0" applyNumberFormat="1" applyFont="1" applyBorder="1" applyAlignment="1">
      <alignment horizontal="center"/>
    </xf>
    <xf numFmtId="2" fontId="6" fillId="0" borderId="0" xfId="0" applyNumberFormat="1" applyFont="1" applyBorder="1" applyAlignment="1">
      <alignment horizontal="center"/>
    </xf>
    <xf numFmtId="0" fontId="7" fillId="0" borderId="0" xfId="0" applyFont="1" applyAlignment="1">
      <alignment vertical="center"/>
    </xf>
    <xf numFmtId="0" fontId="6" fillId="0" borderId="25" xfId="0" applyFont="1" applyBorder="1" applyAlignment="1">
      <alignment horizontal="right"/>
    </xf>
    <xf numFmtId="0" fontId="7" fillId="0" borderId="25" xfId="0" applyFont="1" applyBorder="1" applyAlignment="1">
      <alignment vertical="center"/>
    </xf>
    <xf numFmtId="1" fontId="7" fillId="0" borderId="25" xfId="0" applyNumberFormat="1" applyFont="1" applyBorder="1" applyAlignment="1">
      <alignment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1" fillId="0" borderId="30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1" fontId="11" fillId="0" borderId="31" xfId="1" applyNumberFormat="1" applyFont="1" applyFill="1" applyBorder="1" applyAlignment="1">
      <alignment horizontal="center" vertical="center"/>
    </xf>
    <xf numFmtId="10" fontId="10" fillId="0" borderId="31" xfId="1" applyNumberFormat="1" applyFont="1" applyBorder="1" applyAlignment="1">
      <alignment horizontal="right"/>
    </xf>
    <xf numFmtId="0" fontId="9" fillId="0" borderId="40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1" fontId="11" fillId="0" borderId="40" xfId="1" applyNumberFormat="1" applyFont="1" applyFill="1" applyBorder="1" applyAlignment="1">
      <alignment horizontal="center" vertical="center"/>
    </xf>
    <xf numFmtId="10" fontId="10" fillId="0" borderId="40" xfId="1" applyNumberFormat="1" applyFont="1" applyBorder="1" applyAlignment="1">
      <alignment horizontal="right"/>
    </xf>
    <xf numFmtId="10" fontId="10" fillId="0" borderId="40" xfId="1" applyNumberFormat="1" applyFont="1" applyFill="1" applyBorder="1" applyAlignment="1">
      <alignment horizontal="right"/>
    </xf>
    <xf numFmtId="1" fontId="9" fillId="0" borderId="40" xfId="1" applyNumberFormat="1" applyFont="1" applyBorder="1" applyAlignment="1">
      <alignment horizontal="center" vertical="center"/>
    </xf>
    <xf numFmtId="4" fontId="9" fillId="0" borderId="41" xfId="0" applyNumberFormat="1" applyFont="1" applyBorder="1" applyAlignment="1">
      <alignment horizontal="center"/>
    </xf>
    <xf numFmtId="1" fontId="9" fillId="0" borderId="30" xfId="1" applyNumberFormat="1" applyFont="1" applyBorder="1" applyAlignment="1">
      <alignment horizontal="center" vertical="center"/>
    </xf>
    <xf numFmtId="4" fontId="9" fillId="0" borderId="30" xfId="0" applyNumberFormat="1" applyFont="1" applyBorder="1"/>
    <xf numFmtId="10" fontId="10" fillId="0" borderId="30" xfId="1" applyNumberFormat="1" applyFont="1" applyBorder="1"/>
    <xf numFmtId="10" fontId="6" fillId="0" borderId="0" xfId="0" applyNumberFormat="1" applyFont="1"/>
    <xf numFmtId="0" fontId="0" fillId="0" borderId="17" xfId="0" applyBorder="1" applyAlignment="1">
      <alignment horizontal="center" vertical="center"/>
    </xf>
    <xf numFmtId="0" fontId="0" fillId="0" borderId="27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6" fillId="0" borderId="30" xfId="0" applyFont="1" applyBorder="1" applyAlignment="1">
      <alignment horizontal="center"/>
    </xf>
    <xf numFmtId="14" fontId="12" fillId="0" borderId="30" xfId="0" applyNumberFormat="1" applyFont="1" applyBorder="1" applyAlignment="1">
      <alignment horizontal="center"/>
    </xf>
    <xf numFmtId="0" fontId="6" fillId="0" borderId="30" xfId="0" applyFont="1" applyFill="1" applyBorder="1" applyAlignment="1">
      <alignment horizontal="center"/>
    </xf>
    <xf numFmtId="2" fontId="6" fillId="0" borderId="30" xfId="0" applyNumberFormat="1" applyFont="1" applyFill="1" applyBorder="1" applyAlignment="1">
      <alignment horizontal="center"/>
    </xf>
    <xf numFmtId="0" fontId="7" fillId="0" borderId="30" xfId="0" applyFont="1" applyBorder="1" applyAlignment="1">
      <alignment horizontal="center"/>
    </xf>
    <xf numFmtId="2" fontId="7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right"/>
    </xf>
    <xf numFmtId="0" fontId="7" fillId="0" borderId="0" xfId="0" applyFont="1" applyAlignment="1">
      <alignment horizontal="left"/>
    </xf>
    <xf numFmtId="2" fontId="6" fillId="0" borderId="0" xfId="0" applyNumberFormat="1" applyFont="1" applyAlignment="1">
      <alignment horizontal="center"/>
    </xf>
    <xf numFmtId="1" fontId="7" fillId="0" borderId="0" xfId="0" applyNumberFormat="1" applyFont="1" applyAlignment="1">
      <alignment vertical="center"/>
    </xf>
    <xf numFmtId="2" fontId="14" fillId="0" borderId="30" xfId="0" applyNumberFormat="1" applyFont="1" applyBorder="1" applyAlignment="1">
      <alignment horizontal="center" vertical="center" wrapText="1"/>
    </xf>
    <xf numFmtId="2" fontId="14" fillId="0" borderId="11" xfId="0" applyNumberFormat="1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0" xfId="0" applyFont="1" applyBorder="1"/>
    <xf numFmtId="2" fontId="6" fillId="0" borderId="48" xfId="0" applyNumberFormat="1" applyFont="1" applyBorder="1"/>
    <xf numFmtId="2" fontId="6" fillId="0" borderId="30" xfId="0" applyNumberFormat="1" applyFont="1" applyBorder="1"/>
    <xf numFmtId="2" fontId="6" fillId="0" borderId="11" xfId="0" applyNumberFormat="1" applyFont="1" applyBorder="1"/>
    <xf numFmtId="0" fontId="6" fillId="0" borderId="30" xfId="0" applyFont="1" applyBorder="1"/>
    <xf numFmtId="2" fontId="6" fillId="0" borderId="44" xfId="0" applyNumberFormat="1" applyFont="1" applyBorder="1"/>
    <xf numFmtId="0" fontId="14" fillId="0" borderId="0" xfId="0" applyFont="1"/>
    <xf numFmtId="2" fontId="14" fillId="0" borderId="0" xfId="0" applyNumberFormat="1" applyFont="1"/>
    <xf numFmtId="0" fontId="14" fillId="0" borderId="30" xfId="0" applyFont="1" applyBorder="1" applyAlignment="1">
      <alignment horizontal="center" vertical="center" wrapText="1"/>
    </xf>
    <xf numFmtId="10" fontId="6" fillId="0" borderId="31" xfId="1" applyNumberFormat="1" applyFont="1" applyBorder="1" applyAlignment="1">
      <alignment horizontal="center"/>
    </xf>
    <xf numFmtId="2" fontId="6" fillId="0" borderId="31" xfId="0" applyNumberFormat="1" applyFont="1" applyBorder="1"/>
    <xf numFmtId="0" fontId="6" fillId="0" borderId="40" xfId="0" applyFont="1" applyBorder="1" applyAlignment="1">
      <alignment horizontal="center"/>
    </xf>
    <xf numFmtId="2" fontId="6" fillId="0" borderId="40" xfId="0" applyNumberFormat="1" applyFont="1" applyBorder="1"/>
    <xf numFmtId="10" fontId="6" fillId="0" borderId="40" xfId="1" applyNumberFormat="1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2" fontId="6" fillId="0" borderId="41" xfId="0" applyNumberFormat="1" applyFont="1" applyBorder="1"/>
    <xf numFmtId="10" fontId="6" fillId="0" borderId="30" xfId="1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9" fillId="0" borderId="30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2" fontId="6" fillId="0" borderId="0" xfId="0" applyNumberFormat="1" applyFont="1" applyAlignment="1">
      <alignment horizontal="right"/>
    </xf>
    <xf numFmtId="14" fontId="7" fillId="0" borderId="0" xfId="0" applyNumberFormat="1" applyFont="1" applyAlignment="1">
      <alignment horizontal="center"/>
    </xf>
    <xf numFmtId="0" fontId="0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9" fillId="0" borderId="37" xfId="0" applyFont="1" applyBorder="1" applyAlignment="1">
      <alignment horizontal="center"/>
    </xf>
    <xf numFmtId="0" fontId="9" fillId="0" borderId="46" xfId="0" applyFont="1" applyBorder="1" applyAlignment="1">
      <alignment horizontal="center"/>
    </xf>
    <xf numFmtId="0" fontId="11" fillId="0" borderId="46" xfId="0" applyFont="1" applyBorder="1" applyAlignment="1">
      <alignment horizontal="center"/>
    </xf>
    <xf numFmtId="0" fontId="11" fillId="0" borderId="49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4" fontId="11" fillId="0" borderId="37" xfId="0" applyNumberFormat="1" applyFont="1" applyBorder="1" applyAlignment="1">
      <alignment horizontal="center"/>
    </xf>
    <xf numFmtId="4" fontId="11" fillId="0" borderId="46" xfId="0" applyNumberFormat="1" applyFont="1" applyBorder="1" applyAlignment="1">
      <alignment horizontal="center"/>
    </xf>
    <xf numFmtId="4" fontId="9" fillId="0" borderId="46" xfId="0" applyNumberFormat="1" applyFont="1" applyBorder="1" applyAlignment="1">
      <alignment horizontal="center"/>
    </xf>
    <xf numFmtId="4" fontId="9" fillId="0" borderId="49" xfId="0" applyNumberFormat="1" applyFont="1" applyBorder="1"/>
    <xf numFmtId="4" fontId="9" fillId="0" borderId="48" xfId="0" applyNumberFormat="1" applyFont="1" applyBorder="1"/>
    <xf numFmtId="4" fontId="9" fillId="0" borderId="41" xfId="1" applyNumberFormat="1" applyFont="1" applyBorder="1" applyAlignment="1">
      <alignment horizontal="center" vertical="center"/>
    </xf>
    <xf numFmtId="0" fontId="0" fillId="0" borderId="49" xfId="0" applyFont="1" applyBorder="1" applyAlignment="1">
      <alignment horizontal="center"/>
    </xf>
    <xf numFmtId="0" fontId="0" fillId="0" borderId="48" xfId="0" applyFont="1" applyBorder="1" applyAlignment="1">
      <alignment horizontal="center"/>
    </xf>
    <xf numFmtId="0" fontId="0" fillId="0" borderId="48" xfId="0" applyFont="1" applyBorder="1" applyAlignment="1">
      <alignment horizontal="center" vertical="center"/>
    </xf>
    <xf numFmtId="0" fontId="0" fillId="0" borderId="50" xfId="0" applyFont="1" applyBorder="1" applyAlignment="1">
      <alignment horizontal="center"/>
    </xf>
    <xf numFmtId="0" fontId="0" fillId="0" borderId="31" xfId="0" applyFont="1" applyBorder="1" applyAlignment="1">
      <alignment horizontal="center"/>
    </xf>
    <xf numFmtId="0" fontId="0" fillId="0" borderId="40" xfId="0" applyFont="1" applyBorder="1" applyAlignment="1">
      <alignment horizontal="center"/>
    </xf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/>
    </xf>
    <xf numFmtId="4" fontId="6" fillId="0" borderId="0" xfId="0" applyNumberFormat="1" applyFont="1"/>
    <xf numFmtId="4" fontId="9" fillId="4" borderId="48" xfId="0" applyNumberFormat="1" applyFont="1" applyFill="1" applyBorder="1"/>
    <xf numFmtId="4" fontId="9" fillId="4" borderId="49" xfId="0" applyNumberFormat="1" applyFont="1" applyFill="1" applyBorder="1"/>
    <xf numFmtId="0" fontId="7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20" fontId="7" fillId="0" borderId="0" xfId="0" applyNumberFormat="1" applyFont="1" applyAlignment="1">
      <alignment horizontal="center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7" fillId="0" borderId="23" xfId="0" applyFont="1" applyBorder="1" applyAlignment="1">
      <alignment horizontal="left"/>
    </xf>
    <xf numFmtId="2" fontId="6" fillId="0" borderId="0" xfId="0" applyNumberFormat="1" applyFont="1" applyAlignment="1">
      <alignment horizontal="right"/>
    </xf>
    <xf numFmtId="2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4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2" fontId="9" fillId="0" borderId="31" xfId="0" applyNumberFormat="1" applyFont="1" applyBorder="1" applyAlignment="1">
      <alignment horizontal="center" vertical="center" wrapText="1"/>
    </xf>
    <xf numFmtId="2" fontId="9" fillId="0" borderId="41" xfId="0" applyNumberFormat="1" applyFont="1" applyBorder="1" applyAlignment="1">
      <alignment horizontal="center" vertical="center" wrapText="1"/>
    </xf>
    <xf numFmtId="2" fontId="9" fillId="0" borderId="40" xfId="0" applyNumberFormat="1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13" fillId="0" borderId="43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40" xfId="0" applyFont="1" applyBorder="1" applyAlignment="1">
      <alignment horizontal="left"/>
    </xf>
    <xf numFmtId="0" fontId="6" fillId="0" borderId="41" xfId="0" applyFont="1" applyBorder="1" applyAlignment="1">
      <alignment horizontal="left"/>
    </xf>
    <xf numFmtId="0" fontId="6" fillId="0" borderId="30" xfId="0" applyFont="1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13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left"/>
    </xf>
    <xf numFmtId="0" fontId="5" fillId="0" borderId="35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7" fillId="3" borderId="30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31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4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5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6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4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5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542925</xdr:colOff>
      <xdr:row>1</xdr:row>
      <xdr:rowOff>38100</xdr:rowOff>
    </xdr:from>
    <xdr:to>
      <xdr:col>3</xdr:col>
      <xdr:colOff>95250</xdr:colOff>
      <xdr:row>2</xdr:row>
      <xdr:rowOff>211722</xdr:rowOff>
    </xdr:to>
    <xdr:pic>
      <xdr:nvPicPr>
        <xdr:cNvPr id="2" name="1 Imagen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71450"/>
          <a:ext cx="1514475" cy="602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542925</xdr:colOff>
      <xdr:row>1</xdr:row>
      <xdr:rowOff>38100</xdr:rowOff>
    </xdr:from>
    <xdr:to>
      <xdr:col>3</xdr:col>
      <xdr:colOff>95250</xdr:colOff>
      <xdr:row>2</xdr:row>
      <xdr:rowOff>211722</xdr:rowOff>
    </xdr:to>
    <xdr:pic>
      <xdr:nvPicPr>
        <xdr:cNvPr id="3" name="2 Imagen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71450"/>
          <a:ext cx="1143000" cy="602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542925</xdr:colOff>
      <xdr:row>1</xdr:row>
      <xdr:rowOff>38100</xdr:rowOff>
    </xdr:from>
    <xdr:to>
      <xdr:col>3</xdr:col>
      <xdr:colOff>95250</xdr:colOff>
      <xdr:row>2</xdr:row>
      <xdr:rowOff>211722</xdr:rowOff>
    </xdr:to>
    <xdr:pic>
      <xdr:nvPicPr>
        <xdr:cNvPr id="2" name="1 Imagen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71450"/>
          <a:ext cx="1143000" cy="602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84"/>
  <sheetViews>
    <sheetView topLeftCell="A13" zoomScaleNormal="100" workbookViewId="0">
      <selection activeCell="L38" sqref="L38"/>
    </sheetView>
  </sheetViews>
  <sheetFormatPr baseColWidth="10" defaultColWidth="12.42578125" defaultRowHeight="15.75" x14ac:dyDescent="0.25"/>
  <cols>
    <col min="1" max="1" width="4" style="45" customWidth="1"/>
    <col min="2" max="2" width="3.7109375" style="45" customWidth="1"/>
    <col min="3" max="3" width="9.5703125" style="45" customWidth="1"/>
    <col min="4" max="4" width="9.7109375" style="45" customWidth="1"/>
    <col min="5" max="5" width="6.42578125" style="45" customWidth="1"/>
    <col min="6" max="7" width="12.7109375" style="45" customWidth="1"/>
    <col min="8" max="8" width="17.42578125" style="46" customWidth="1"/>
    <col min="9" max="9" width="12.7109375" style="45" customWidth="1"/>
    <col min="10" max="10" width="14.42578125" style="46" bestFit="1" customWidth="1"/>
    <col min="11" max="12" width="12.7109375" style="45" customWidth="1"/>
    <col min="13" max="13" width="12.42578125" style="45"/>
    <col min="14" max="14" width="3.7109375" style="45" customWidth="1"/>
    <col min="15" max="16384" width="12.42578125" style="45"/>
  </cols>
  <sheetData>
    <row r="1" spans="2:14" ht="16.5" thickBot="1" x14ac:dyDescent="0.3"/>
    <row r="2" spans="2:14" ht="17.25" thickTop="1" thickBot="1" x14ac:dyDescent="0.3">
      <c r="B2" s="47"/>
      <c r="C2" s="48"/>
      <c r="D2" s="48"/>
      <c r="E2" s="48"/>
      <c r="F2" s="48"/>
      <c r="G2" s="48"/>
      <c r="H2" s="49"/>
      <c r="I2" s="48"/>
      <c r="J2" s="49"/>
      <c r="K2" s="48"/>
      <c r="L2" s="48"/>
      <c r="M2" s="48"/>
      <c r="N2" s="50"/>
    </row>
    <row r="3" spans="2:14" ht="17.25" thickTop="1" thickBot="1" x14ac:dyDescent="0.3">
      <c r="B3" s="51"/>
      <c r="G3" s="45" t="s">
        <v>50</v>
      </c>
      <c r="H3" s="45"/>
      <c r="J3" s="45"/>
      <c r="K3" s="53" t="s">
        <v>25</v>
      </c>
      <c r="L3" s="54">
        <f>+M55</f>
        <v>0.56489565217391302</v>
      </c>
      <c r="N3" s="55"/>
    </row>
    <row r="4" spans="2:14" ht="17.25" thickTop="1" thickBot="1" x14ac:dyDescent="0.3">
      <c r="B4" s="51"/>
      <c r="G4" s="46" t="s">
        <v>51</v>
      </c>
      <c r="K4" s="53" t="s">
        <v>26</v>
      </c>
      <c r="L4" s="57">
        <f>+L55/D55</f>
        <v>216.54333333333332</v>
      </c>
      <c r="N4" s="55"/>
    </row>
    <row r="5" spans="2:14" ht="16.5" thickTop="1" x14ac:dyDescent="0.25">
      <c r="B5" s="51"/>
      <c r="G5" s="46" t="s">
        <v>52</v>
      </c>
      <c r="K5" s="58"/>
      <c r="L5" s="59"/>
      <c r="N5" s="55"/>
    </row>
    <row r="6" spans="2:14" ht="16.5" thickBot="1" x14ac:dyDescent="0.3">
      <c r="B6" s="60"/>
      <c r="C6" s="61"/>
      <c r="D6" s="61"/>
      <c r="E6" s="61"/>
      <c r="F6" s="61"/>
      <c r="G6" s="61"/>
      <c r="H6" s="62"/>
      <c r="I6" s="61"/>
      <c r="J6" s="62"/>
      <c r="K6" s="61"/>
      <c r="L6" s="61"/>
      <c r="M6" s="61"/>
      <c r="N6" s="63"/>
    </row>
    <row r="7" spans="2:14" ht="8.1" customHeight="1" thickTop="1" x14ac:dyDescent="0.25">
      <c r="B7" s="47"/>
      <c r="C7" s="48"/>
      <c r="D7" s="48"/>
      <c r="E7" s="48"/>
      <c r="F7" s="48"/>
      <c r="G7" s="48"/>
      <c r="H7" s="49"/>
      <c r="I7" s="47"/>
      <c r="J7" s="49"/>
      <c r="K7" s="48"/>
      <c r="L7" s="48"/>
      <c r="M7" s="48"/>
      <c r="N7" s="50"/>
    </row>
    <row r="8" spans="2:14" x14ac:dyDescent="0.25">
      <c r="B8" s="51"/>
      <c r="C8" s="169" t="s">
        <v>53</v>
      </c>
      <c r="D8" s="169"/>
      <c r="E8" s="170" t="s">
        <v>94</v>
      </c>
      <c r="F8" s="170"/>
      <c r="G8" s="170"/>
      <c r="H8" s="171"/>
      <c r="I8" s="64" t="s">
        <v>54</v>
      </c>
      <c r="J8" s="173" t="s">
        <v>95</v>
      </c>
      <c r="K8" s="173"/>
      <c r="L8" s="173"/>
      <c r="M8" s="173"/>
      <c r="N8" s="55"/>
    </row>
    <row r="9" spans="2:14" x14ac:dyDescent="0.25">
      <c r="B9" s="51"/>
      <c r="C9" s="172" t="s">
        <v>55</v>
      </c>
      <c r="D9" s="172"/>
      <c r="E9" s="170">
        <v>27345</v>
      </c>
      <c r="F9" s="170"/>
      <c r="G9" s="170"/>
      <c r="H9" s="171"/>
      <c r="I9" s="64" t="s">
        <v>56</v>
      </c>
      <c r="J9" s="101" t="s">
        <v>96</v>
      </c>
      <c r="K9" s="92" t="s">
        <v>57</v>
      </c>
      <c r="L9" s="166" t="s">
        <v>97</v>
      </c>
      <c r="M9" s="166"/>
      <c r="N9" s="55"/>
    </row>
    <row r="10" spans="2:14" x14ac:dyDescent="0.25">
      <c r="B10" s="51"/>
      <c r="C10" s="102"/>
      <c r="D10" s="102"/>
      <c r="E10" s="103"/>
      <c r="F10" s="103"/>
      <c r="G10" s="103"/>
      <c r="H10" s="94"/>
      <c r="I10" s="64" t="s">
        <v>81</v>
      </c>
      <c r="J10" s="134">
        <v>46159</v>
      </c>
      <c r="K10" s="92" t="s">
        <v>82</v>
      </c>
      <c r="L10" s="168">
        <v>0.5</v>
      </c>
      <c r="M10" s="166"/>
      <c r="N10" s="55"/>
    </row>
    <row r="11" spans="2:14" ht="8.1" customHeight="1" thickBot="1" x14ac:dyDescent="0.3">
      <c r="B11" s="60"/>
      <c r="C11" s="65"/>
      <c r="D11" s="65"/>
      <c r="E11" s="61"/>
      <c r="F11" s="61"/>
      <c r="G11" s="61"/>
      <c r="H11" s="62"/>
      <c r="I11" s="60"/>
      <c r="J11" s="62"/>
      <c r="K11" s="61"/>
      <c r="L11" s="61"/>
      <c r="M11" s="61"/>
      <c r="N11" s="63"/>
    </row>
    <row r="12" spans="2:14" ht="8.1" customHeight="1" thickTop="1" x14ac:dyDescent="0.25">
      <c r="B12" s="51"/>
      <c r="C12" s="66"/>
      <c r="D12" s="66"/>
      <c r="E12" s="52"/>
      <c r="F12" s="52"/>
      <c r="G12" s="52"/>
      <c r="H12" s="56"/>
      <c r="I12" s="52"/>
      <c r="J12" s="56"/>
      <c r="K12" s="52"/>
      <c r="L12" s="52"/>
      <c r="M12" s="52"/>
      <c r="N12" s="55"/>
    </row>
    <row r="13" spans="2:14" ht="8.1" customHeight="1" x14ac:dyDescent="0.25">
      <c r="B13" s="51"/>
      <c r="C13" s="104"/>
      <c r="D13" s="104"/>
      <c r="N13" s="55"/>
    </row>
    <row r="14" spans="2:14" x14ac:dyDescent="0.25">
      <c r="B14" s="51"/>
      <c r="D14" s="92" t="s">
        <v>74</v>
      </c>
      <c r="E14" s="167">
        <v>46160</v>
      </c>
      <c r="F14" s="167"/>
      <c r="H14" s="45"/>
      <c r="I14" s="67"/>
      <c r="J14" s="45"/>
      <c r="K14" s="95" t="s">
        <v>58</v>
      </c>
      <c r="L14" s="95" t="s">
        <v>59</v>
      </c>
      <c r="N14" s="55"/>
    </row>
    <row r="15" spans="2:14" x14ac:dyDescent="0.25">
      <c r="B15" s="51"/>
      <c r="C15" s="169" t="s">
        <v>60</v>
      </c>
      <c r="D15" s="169"/>
      <c r="E15" s="174">
        <v>192</v>
      </c>
      <c r="F15" s="174"/>
      <c r="H15" s="45"/>
      <c r="I15" s="67"/>
      <c r="J15" s="95" t="s">
        <v>61</v>
      </c>
      <c r="K15" s="93">
        <f>+COUNTIF($G$24:$G$55,"VQ")*2</f>
        <v>0</v>
      </c>
      <c r="L15" s="93">
        <f>+SUMIF($G$25:$G$54,"VQ",$L$25:$L$54)</f>
        <v>0</v>
      </c>
      <c r="N15" s="55"/>
    </row>
    <row r="16" spans="2:14" x14ac:dyDescent="0.25">
      <c r="B16" s="51"/>
      <c r="C16" s="169" t="s">
        <v>62</v>
      </c>
      <c r="D16" s="169"/>
      <c r="E16" s="166">
        <v>30</v>
      </c>
      <c r="F16" s="166"/>
      <c r="H16" s="45"/>
      <c r="I16" s="67"/>
      <c r="J16" s="95" t="s">
        <v>63</v>
      </c>
      <c r="K16" s="93">
        <f>+COUNTIF($G$24:$G$55,"NT")*2</f>
        <v>60</v>
      </c>
      <c r="L16" s="93">
        <f>+SUMIF($G$25:$G$54,"NT",$L$25:$L$54)</f>
        <v>6496.2999999999993</v>
      </c>
      <c r="N16" s="55"/>
    </row>
    <row r="17" spans="2:14" x14ac:dyDescent="0.25">
      <c r="B17" s="51"/>
      <c r="C17" s="169" t="s">
        <v>64</v>
      </c>
      <c r="D17" s="169"/>
      <c r="E17" s="175">
        <f>+I55</f>
        <v>11500</v>
      </c>
      <c r="F17" s="166"/>
      <c r="H17" s="45"/>
      <c r="I17" s="67"/>
      <c r="J17" s="95" t="s">
        <v>65</v>
      </c>
      <c r="K17" s="93">
        <f>+COUNTIF($G$24:$G$55,"NO")*2</f>
        <v>0</v>
      </c>
      <c r="L17" s="93">
        <f>+SUMIF($G$25:$G$54,"NO",$L$25:$L$54)</f>
        <v>0</v>
      </c>
      <c r="N17" s="55"/>
    </row>
    <row r="18" spans="2:14" x14ac:dyDescent="0.25">
      <c r="B18" s="51"/>
      <c r="C18" s="169" t="s">
        <v>66</v>
      </c>
      <c r="D18" s="169"/>
      <c r="E18" s="175">
        <f>+L55</f>
        <v>6496.2999999999993</v>
      </c>
      <c r="F18" s="166"/>
      <c r="H18" s="45"/>
      <c r="I18" s="67"/>
      <c r="J18" s="95" t="s">
        <v>67</v>
      </c>
      <c r="K18" s="93">
        <f>+COUNTIF($G$24:$G$55,"TO")*2</f>
        <v>0</v>
      </c>
      <c r="L18" s="93">
        <f>+SUMIF($G$25:$G$54,"TO",$L$25:$L$54)</f>
        <v>0</v>
      </c>
      <c r="N18" s="55"/>
    </row>
    <row r="19" spans="2:14" x14ac:dyDescent="0.25">
      <c r="B19" s="51"/>
      <c r="C19" s="169" t="s">
        <v>68</v>
      </c>
      <c r="D19" s="169"/>
      <c r="E19" s="176">
        <f>+M55</f>
        <v>0.56489565217391302</v>
      </c>
      <c r="F19" s="166"/>
      <c r="G19" s="67"/>
      <c r="H19" s="105"/>
      <c r="I19" s="67"/>
      <c r="J19" s="95" t="s">
        <v>69</v>
      </c>
      <c r="K19" s="93">
        <f>+COUNTIF($G$24:$G$55,"VA")*2</f>
        <v>0</v>
      </c>
      <c r="L19" s="93">
        <f>+SUMIF($G$25:$G$54,"VA",$L$25:$L$54)</f>
        <v>0</v>
      </c>
      <c r="N19" s="55"/>
    </row>
    <row r="20" spans="2:14" x14ac:dyDescent="0.25">
      <c r="B20" s="51"/>
      <c r="C20" s="169" t="s">
        <v>70</v>
      </c>
      <c r="D20" s="169"/>
      <c r="E20" s="173">
        <f>+L55/D55</f>
        <v>216.54333333333332</v>
      </c>
      <c r="F20" s="173"/>
      <c r="G20" s="67"/>
      <c r="H20" s="105"/>
      <c r="I20" s="67"/>
      <c r="J20" s="95" t="s">
        <v>71</v>
      </c>
      <c r="K20" s="93">
        <f>+COUNTIF($G$24:$G$55,"MEJ")*2</f>
        <v>0</v>
      </c>
      <c r="L20" s="93">
        <f>+SUMIF($G$25:$G$54,"MEJ",$L$25:$L$54)</f>
        <v>0</v>
      </c>
      <c r="N20" s="55"/>
    </row>
    <row r="21" spans="2:14" ht="9.9499999999999993" customHeight="1" thickBot="1" x14ac:dyDescent="0.3">
      <c r="B21" s="60"/>
      <c r="C21" s="68"/>
      <c r="D21" s="68"/>
      <c r="E21" s="61"/>
      <c r="F21" s="61"/>
      <c r="G21" s="69"/>
      <c r="H21" s="70"/>
      <c r="I21" s="69"/>
      <c r="J21" s="61"/>
      <c r="K21" s="61"/>
      <c r="L21" s="61"/>
      <c r="M21" s="61"/>
      <c r="N21" s="63"/>
    </row>
    <row r="22" spans="2:14" ht="9.9499999999999993" customHeight="1" thickTop="1" x14ac:dyDescent="0.25">
      <c r="B22" s="51"/>
      <c r="N22" s="55"/>
    </row>
    <row r="23" spans="2:14" s="73" customFormat="1" ht="26.25" customHeight="1" x14ac:dyDescent="0.25">
      <c r="B23" s="71"/>
      <c r="C23" s="184" t="s">
        <v>27</v>
      </c>
      <c r="D23" s="184" t="s">
        <v>28</v>
      </c>
      <c r="E23" s="180" t="s">
        <v>49</v>
      </c>
      <c r="F23" s="188" t="s">
        <v>29</v>
      </c>
      <c r="G23" s="189"/>
      <c r="H23" s="190" t="s">
        <v>30</v>
      </c>
      <c r="I23" s="177" t="s">
        <v>31</v>
      </c>
      <c r="J23" s="177" t="s">
        <v>2</v>
      </c>
      <c r="K23" s="180" t="s">
        <v>3</v>
      </c>
      <c r="L23" s="177" t="s">
        <v>32</v>
      </c>
      <c r="M23" s="182" t="s">
        <v>33</v>
      </c>
      <c r="N23" s="72"/>
    </row>
    <row r="24" spans="2:14" x14ac:dyDescent="0.25">
      <c r="B24" s="51"/>
      <c r="C24" s="185"/>
      <c r="D24" s="186"/>
      <c r="E24" s="187"/>
      <c r="F24" s="145" t="s">
        <v>72</v>
      </c>
      <c r="G24" s="74" t="s">
        <v>73</v>
      </c>
      <c r="H24" s="191"/>
      <c r="I24" s="178"/>
      <c r="J24" s="179"/>
      <c r="K24" s="181"/>
      <c r="L24" s="178"/>
      <c r="M24" s="183"/>
      <c r="N24" s="55"/>
    </row>
    <row r="25" spans="2:14" x14ac:dyDescent="0.25">
      <c r="B25" s="51"/>
      <c r="C25" s="75">
        <v>1</v>
      </c>
      <c r="D25" s="75">
        <v>2</v>
      </c>
      <c r="E25" s="140" t="s">
        <v>101</v>
      </c>
      <c r="F25" s="146" t="s">
        <v>132</v>
      </c>
      <c r="G25" s="143" t="s">
        <v>63</v>
      </c>
      <c r="H25" s="76" t="s">
        <v>104</v>
      </c>
      <c r="I25" s="149">
        <v>430</v>
      </c>
      <c r="J25" s="159">
        <v>121.9</v>
      </c>
      <c r="K25" s="155">
        <v>120.7</v>
      </c>
      <c r="L25" s="165">
        <f t="shared" ref="L25:L54" si="0">+J25+K25</f>
        <v>242.60000000000002</v>
      </c>
      <c r="M25" s="77">
        <f t="shared" ref="M25:M55" si="1">+L25/I25</f>
        <v>0.56418604651162796</v>
      </c>
      <c r="N25" s="55"/>
    </row>
    <row r="26" spans="2:14" x14ac:dyDescent="0.25">
      <c r="B26" s="51"/>
      <c r="C26" s="78">
        <v>2</v>
      </c>
      <c r="D26" s="78">
        <v>8</v>
      </c>
      <c r="E26" s="141" t="s">
        <v>102</v>
      </c>
      <c r="F26" s="147" t="s">
        <v>132</v>
      </c>
      <c r="G26" s="144" t="s">
        <v>63</v>
      </c>
      <c r="H26" s="80" t="s">
        <v>110</v>
      </c>
      <c r="I26" s="150">
        <v>407</v>
      </c>
      <c r="J26" s="160">
        <v>125.8</v>
      </c>
      <c r="K26" s="156">
        <v>125</v>
      </c>
      <c r="L26" s="164">
        <f t="shared" si="0"/>
        <v>250.8</v>
      </c>
      <c r="M26" s="81">
        <f t="shared" si="1"/>
        <v>0.61621621621621625</v>
      </c>
      <c r="N26" s="55"/>
    </row>
    <row r="27" spans="2:14" x14ac:dyDescent="0.25">
      <c r="B27" s="51"/>
      <c r="C27" s="78">
        <v>3</v>
      </c>
      <c r="D27" s="78">
        <v>12</v>
      </c>
      <c r="E27" s="141" t="s">
        <v>100</v>
      </c>
      <c r="F27" s="147" t="s">
        <v>132</v>
      </c>
      <c r="G27" s="144" t="s">
        <v>63</v>
      </c>
      <c r="H27" s="80" t="s">
        <v>131</v>
      </c>
      <c r="I27" s="150">
        <v>376</v>
      </c>
      <c r="J27" s="160">
        <v>111.2</v>
      </c>
      <c r="K27" s="156">
        <v>110.6</v>
      </c>
      <c r="L27" s="164">
        <f t="shared" si="0"/>
        <v>221.8</v>
      </c>
      <c r="M27" s="81">
        <f t="shared" si="1"/>
        <v>0.58989361702127663</v>
      </c>
      <c r="N27" s="55"/>
    </row>
    <row r="28" spans="2:14" x14ac:dyDescent="0.25">
      <c r="B28" s="51"/>
      <c r="C28" s="79">
        <v>4</v>
      </c>
      <c r="D28" s="78">
        <v>10</v>
      </c>
      <c r="E28" s="142" t="s">
        <v>101</v>
      </c>
      <c r="F28" s="147" t="s">
        <v>132</v>
      </c>
      <c r="G28" s="144" t="s">
        <v>63</v>
      </c>
      <c r="H28" s="80" t="s">
        <v>112</v>
      </c>
      <c r="I28" s="150">
        <v>384</v>
      </c>
      <c r="J28" s="160">
        <v>103.8</v>
      </c>
      <c r="K28" s="156">
        <v>104.1</v>
      </c>
      <c r="L28" s="153">
        <f t="shared" si="0"/>
        <v>207.89999999999998</v>
      </c>
      <c r="M28" s="81">
        <f t="shared" si="1"/>
        <v>0.54140624999999998</v>
      </c>
      <c r="N28" s="55"/>
    </row>
    <row r="29" spans="2:14" x14ac:dyDescent="0.25">
      <c r="B29" s="51"/>
      <c r="C29" s="79">
        <v>5</v>
      </c>
      <c r="D29" s="78">
        <v>14</v>
      </c>
      <c r="E29" s="142" t="s">
        <v>102</v>
      </c>
      <c r="F29" s="147" t="s">
        <v>132</v>
      </c>
      <c r="G29" s="144" t="s">
        <v>63</v>
      </c>
      <c r="H29" s="80" t="s">
        <v>115</v>
      </c>
      <c r="I29" s="150">
        <v>386</v>
      </c>
      <c r="J29" s="160">
        <v>111</v>
      </c>
      <c r="K29" s="156">
        <v>111.1</v>
      </c>
      <c r="L29" s="164">
        <f t="shared" si="0"/>
        <v>222.1</v>
      </c>
      <c r="M29" s="81">
        <f t="shared" si="1"/>
        <v>0.57538860103626943</v>
      </c>
      <c r="N29" s="55"/>
    </row>
    <row r="30" spans="2:14" x14ac:dyDescent="0.25">
      <c r="B30" s="51"/>
      <c r="C30" s="78">
        <v>6</v>
      </c>
      <c r="D30" s="78">
        <v>4</v>
      </c>
      <c r="E30" s="141" t="s">
        <v>100</v>
      </c>
      <c r="F30" s="147" t="s">
        <v>132</v>
      </c>
      <c r="G30" s="144" t="s">
        <v>63</v>
      </c>
      <c r="H30" s="80" t="s">
        <v>106</v>
      </c>
      <c r="I30" s="150">
        <v>375</v>
      </c>
      <c r="J30" s="160">
        <v>101.8</v>
      </c>
      <c r="K30" s="156">
        <v>102.3</v>
      </c>
      <c r="L30" s="153">
        <f t="shared" si="0"/>
        <v>204.1</v>
      </c>
      <c r="M30" s="81">
        <f t="shared" si="1"/>
        <v>0.54426666666666668</v>
      </c>
      <c r="N30" s="55"/>
    </row>
    <row r="31" spans="2:14" x14ac:dyDescent="0.25">
      <c r="B31" s="51"/>
      <c r="C31" s="78">
        <v>7</v>
      </c>
      <c r="D31" s="78">
        <v>1</v>
      </c>
      <c r="E31" s="141" t="s">
        <v>100</v>
      </c>
      <c r="F31" s="147" t="s">
        <v>132</v>
      </c>
      <c r="G31" s="144" t="s">
        <v>63</v>
      </c>
      <c r="H31" s="80" t="s">
        <v>103</v>
      </c>
      <c r="I31" s="150">
        <v>358</v>
      </c>
      <c r="J31" s="160">
        <v>103.9</v>
      </c>
      <c r="K31" s="156">
        <v>102.4</v>
      </c>
      <c r="L31" s="153">
        <f t="shared" si="0"/>
        <v>206.3</v>
      </c>
      <c r="M31" s="81">
        <f t="shared" si="1"/>
        <v>0.57625698324022345</v>
      </c>
      <c r="N31" s="55"/>
    </row>
    <row r="32" spans="2:14" x14ac:dyDescent="0.25">
      <c r="B32" s="51"/>
      <c r="C32" s="78">
        <v>8</v>
      </c>
      <c r="D32" s="78">
        <v>6</v>
      </c>
      <c r="E32" s="141" t="s">
        <v>101</v>
      </c>
      <c r="F32" s="147" t="s">
        <v>132</v>
      </c>
      <c r="G32" s="144" t="s">
        <v>63</v>
      </c>
      <c r="H32" s="80" t="s">
        <v>108</v>
      </c>
      <c r="I32" s="150">
        <v>375</v>
      </c>
      <c r="J32" s="160">
        <v>106.3</v>
      </c>
      <c r="K32" s="156">
        <v>105.6</v>
      </c>
      <c r="L32" s="164">
        <f t="shared" si="0"/>
        <v>211.89999999999998</v>
      </c>
      <c r="M32" s="81">
        <f t="shared" si="1"/>
        <v>0.56506666666666661</v>
      </c>
      <c r="N32" s="55"/>
    </row>
    <row r="33" spans="2:14" x14ac:dyDescent="0.25">
      <c r="B33" s="51"/>
      <c r="C33" s="78">
        <v>9</v>
      </c>
      <c r="D33" s="78">
        <v>7</v>
      </c>
      <c r="E33" s="141" t="s">
        <v>100</v>
      </c>
      <c r="F33" s="147" t="s">
        <v>132</v>
      </c>
      <c r="G33" s="144" t="s">
        <v>63</v>
      </c>
      <c r="H33" s="80" t="s">
        <v>109</v>
      </c>
      <c r="I33" s="150">
        <v>358</v>
      </c>
      <c r="J33" s="160">
        <v>103.1</v>
      </c>
      <c r="K33" s="156">
        <v>102.5</v>
      </c>
      <c r="L33" s="153">
        <f t="shared" si="0"/>
        <v>205.6</v>
      </c>
      <c r="M33" s="81">
        <f t="shared" si="1"/>
        <v>0.57430167597765358</v>
      </c>
      <c r="N33" s="55"/>
    </row>
    <row r="34" spans="2:14" x14ac:dyDescent="0.25">
      <c r="B34" s="51"/>
      <c r="C34" s="78">
        <v>10</v>
      </c>
      <c r="D34" s="78">
        <v>9</v>
      </c>
      <c r="E34" s="141" t="s">
        <v>101</v>
      </c>
      <c r="F34" s="147" t="s">
        <v>132</v>
      </c>
      <c r="G34" s="144" t="s">
        <v>63</v>
      </c>
      <c r="H34" s="80" t="s">
        <v>111</v>
      </c>
      <c r="I34" s="150">
        <v>375</v>
      </c>
      <c r="J34" s="160">
        <v>101.7</v>
      </c>
      <c r="K34" s="156">
        <v>101.2</v>
      </c>
      <c r="L34" s="153">
        <f t="shared" si="0"/>
        <v>202.9</v>
      </c>
      <c r="M34" s="81">
        <f t="shared" si="1"/>
        <v>0.5410666666666667</v>
      </c>
      <c r="N34" s="55"/>
    </row>
    <row r="35" spans="2:14" x14ac:dyDescent="0.25">
      <c r="B35" s="51"/>
      <c r="C35" s="78">
        <v>11</v>
      </c>
      <c r="D35" s="78">
        <v>3</v>
      </c>
      <c r="E35" s="141" t="s">
        <v>101</v>
      </c>
      <c r="F35" s="147" t="s">
        <v>132</v>
      </c>
      <c r="G35" s="144" t="s">
        <v>63</v>
      </c>
      <c r="H35" s="80" t="s">
        <v>105</v>
      </c>
      <c r="I35" s="150">
        <v>377</v>
      </c>
      <c r="J35" s="161">
        <v>108.7</v>
      </c>
      <c r="K35" s="157">
        <v>109.6</v>
      </c>
      <c r="L35" s="164">
        <f t="shared" si="0"/>
        <v>218.3</v>
      </c>
      <c r="M35" s="81">
        <f t="shared" si="1"/>
        <v>0.57904509283819627</v>
      </c>
      <c r="N35" s="55"/>
    </row>
    <row r="36" spans="2:14" x14ac:dyDescent="0.25">
      <c r="B36" s="51"/>
      <c r="C36" s="78">
        <v>12</v>
      </c>
      <c r="D36" s="78">
        <v>5</v>
      </c>
      <c r="E36" s="141" t="s">
        <v>100</v>
      </c>
      <c r="F36" s="147" t="s">
        <v>132</v>
      </c>
      <c r="G36" s="144" t="s">
        <v>63</v>
      </c>
      <c r="H36" s="80" t="s">
        <v>107</v>
      </c>
      <c r="I36" s="150">
        <v>365</v>
      </c>
      <c r="J36" s="161">
        <v>97.9</v>
      </c>
      <c r="K36" s="157">
        <v>98.8</v>
      </c>
      <c r="L36" s="153">
        <f t="shared" si="0"/>
        <v>196.7</v>
      </c>
      <c r="M36" s="81">
        <f t="shared" si="1"/>
        <v>0.53890410958904111</v>
      </c>
      <c r="N36" s="55"/>
    </row>
    <row r="37" spans="2:14" x14ac:dyDescent="0.25">
      <c r="B37" s="51"/>
      <c r="C37" s="78">
        <v>13</v>
      </c>
      <c r="D37" s="78">
        <v>13</v>
      </c>
      <c r="E37" s="141" t="s">
        <v>102</v>
      </c>
      <c r="F37" s="147" t="s">
        <v>132</v>
      </c>
      <c r="G37" s="144" t="s">
        <v>63</v>
      </c>
      <c r="H37" s="80" t="s">
        <v>114</v>
      </c>
      <c r="I37" s="150">
        <v>377</v>
      </c>
      <c r="J37" s="160">
        <v>103.6</v>
      </c>
      <c r="K37" s="156">
        <v>103.4</v>
      </c>
      <c r="L37" s="153">
        <f t="shared" si="0"/>
        <v>207</v>
      </c>
      <c r="M37" s="81">
        <f t="shared" si="1"/>
        <v>0.54907161803713533</v>
      </c>
      <c r="N37" s="55"/>
    </row>
    <row r="38" spans="2:14" x14ac:dyDescent="0.25">
      <c r="B38" s="51"/>
      <c r="C38" s="79">
        <v>14</v>
      </c>
      <c r="D38" s="78">
        <v>11</v>
      </c>
      <c r="E38" s="142" t="s">
        <v>102</v>
      </c>
      <c r="F38" s="147" t="s">
        <v>132</v>
      </c>
      <c r="G38" s="144" t="s">
        <v>63</v>
      </c>
      <c r="H38" s="80" t="s">
        <v>113</v>
      </c>
      <c r="I38" s="150">
        <v>369</v>
      </c>
      <c r="J38" s="160">
        <v>104.5</v>
      </c>
      <c r="K38" s="156">
        <v>104.2</v>
      </c>
      <c r="L38" s="164">
        <f t="shared" si="0"/>
        <v>208.7</v>
      </c>
      <c r="M38" s="81">
        <f t="shared" si="1"/>
        <v>0.5655826558265582</v>
      </c>
      <c r="N38" s="55"/>
    </row>
    <row r="39" spans="2:14" x14ac:dyDescent="0.25">
      <c r="B39" s="51"/>
      <c r="C39" s="79">
        <v>15</v>
      </c>
      <c r="D39" s="78">
        <v>30</v>
      </c>
      <c r="E39" s="142" t="s">
        <v>102</v>
      </c>
      <c r="F39" s="147" t="s">
        <v>132</v>
      </c>
      <c r="G39" s="144" t="s">
        <v>63</v>
      </c>
      <c r="H39" s="80" t="s">
        <v>130</v>
      </c>
      <c r="I39" s="150">
        <v>356</v>
      </c>
      <c r="J39" s="160">
        <v>100.2</v>
      </c>
      <c r="K39" s="156">
        <v>99.2</v>
      </c>
      <c r="L39" s="153">
        <f t="shared" si="0"/>
        <v>199.4</v>
      </c>
      <c r="M39" s="82">
        <f t="shared" si="1"/>
        <v>0.56011235955056182</v>
      </c>
      <c r="N39" s="55"/>
    </row>
    <row r="40" spans="2:14" x14ac:dyDescent="0.25">
      <c r="B40" s="51"/>
      <c r="C40" s="79">
        <v>16</v>
      </c>
      <c r="D40" s="78">
        <v>23</v>
      </c>
      <c r="E40" s="142" t="s">
        <v>102</v>
      </c>
      <c r="F40" s="147" t="s">
        <v>132</v>
      </c>
      <c r="G40" s="144" t="s">
        <v>63</v>
      </c>
      <c r="H40" s="80" t="s">
        <v>123</v>
      </c>
      <c r="I40" s="150">
        <v>347</v>
      </c>
      <c r="J40" s="160">
        <v>97.4</v>
      </c>
      <c r="K40" s="156">
        <v>99.2</v>
      </c>
      <c r="L40" s="153">
        <f t="shared" si="0"/>
        <v>196.60000000000002</v>
      </c>
      <c r="M40" s="81">
        <f t="shared" si="1"/>
        <v>0.56657060518731994</v>
      </c>
      <c r="N40" s="55"/>
    </row>
    <row r="41" spans="2:14" x14ac:dyDescent="0.25">
      <c r="B41" s="51"/>
      <c r="C41" s="78">
        <v>17</v>
      </c>
      <c r="D41" s="78">
        <v>15</v>
      </c>
      <c r="E41" s="141" t="s">
        <v>100</v>
      </c>
      <c r="F41" s="147" t="s">
        <v>132</v>
      </c>
      <c r="G41" s="144" t="s">
        <v>63</v>
      </c>
      <c r="H41" s="80" t="s">
        <v>116</v>
      </c>
      <c r="I41" s="150">
        <v>378</v>
      </c>
      <c r="J41" s="160">
        <v>106.2</v>
      </c>
      <c r="K41" s="156">
        <v>106.3</v>
      </c>
      <c r="L41" s="164">
        <f t="shared" si="0"/>
        <v>212.5</v>
      </c>
      <c r="M41" s="81">
        <f t="shared" si="1"/>
        <v>0.56216931216931221</v>
      </c>
      <c r="N41" s="55"/>
    </row>
    <row r="42" spans="2:14" x14ac:dyDescent="0.25">
      <c r="B42" s="51"/>
      <c r="C42" s="79">
        <v>18</v>
      </c>
      <c r="D42" s="78">
        <v>29</v>
      </c>
      <c r="E42" s="142" t="s">
        <v>102</v>
      </c>
      <c r="F42" s="147" t="s">
        <v>132</v>
      </c>
      <c r="G42" s="144" t="s">
        <v>63</v>
      </c>
      <c r="H42" s="80" t="s">
        <v>129</v>
      </c>
      <c r="I42" s="150">
        <v>376</v>
      </c>
      <c r="J42" s="160">
        <v>104</v>
      </c>
      <c r="K42" s="156">
        <v>102.2</v>
      </c>
      <c r="L42" s="153">
        <f t="shared" si="0"/>
        <v>206.2</v>
      </c>
      <c r="M42" s="81">
        <f t="shared" si="1"/>
        <v>0.54840425531914894</v>
      </c>
      <c r="N42" s="55"/>
    </row>
    <row r="43" spans="2:14" x14ac:dyDescent="0.25">
      <c r="B43" s="51"/>
      <c r="C43" s="78">
        <v>19</v>
      </c>
      <c r="D43" s="78">
        <v>19</v>
      </c>
      <c r="E43" s="141" t="s">
        <v>100</v>
      </c>
      <c r="F43" s="147" t="s">
        <v>132</v>
      </c>
      <c r="G43" s="144" t="s">
        <v>63</v>
      </c>
      <c r="H43" s="83" t="s">
        <v>119</v>
      </c>
      <c r="I43" s="151">
        <v>360</v>
      </c>
      <c r="J43" s="160">
        <v>105.1</v>
      </c>
      <c r="K43" s="156">
        <v>105.5</v>
      </c>
      <c r="L43" s="164">
        <f t="shared" si="0"/>
        <v>210.6</v>
      </c>
      <c r="M43" s="81">
        <f t="shared" si="1"/>
        <v>0.58499999999999996</v>
      </c>
      <c r="N43" s="55"/>
    </row>
    <row r="44" spans="2:14" x14ac:dyDescent="0.25">
      <c r="B44" s="51"/>
      <c r="C44" s="79">
        <v>20</v>
      </c>
      <c r="D44" s="78">
        <v>26</v>
      </c>
      <c r="E44" s="142" t="s">
        <v>102</v>
      </c>
      <c r="F44" s="147" t="s">
        <v>132</v>
      </c>
      <c r="G44" s="144" t="s">
        <v>63</v>
      </c>
      <c r="H44" s="80" t="s">
        <v>126</v>
      </c>
      <c r="I44" s="150">
        <v>455</v>
      </c>
      <c r="J44" s="160">
        <v>132.5</v>
      </c>
      <c r="K44" s="156">
        <v>132.69999999999999</v>
      </c>
      <c r="L44" s="164">
        <f t="shared" si="0"/>
        <v>265.2</v>
      </c>
      <c r="M44" s="81">
        <f t="shared" si="1"/>
        <v>0.58285714285714285</v>
      </c>
      <c r="N44" s="55"/>
    </row>
    <row r="45" spans="2:14" x14ac:dyDescent="0.25">
      <c r="B45" s="51"/>
      <c r="C45" s="78">
        <v>21</v>
      </c>
      <c r="D45" s="78">
        <v>17</v>
      </c>
      <c r="E45" s="141" t="s">
        <v>100</v>
      </c>
      <c r="F45" s="147" t="s">
        <v>132</v>
      </c>
      <c r="G45" s="144" t="s">
        <v>63</v>
      </c>
      <c r="H45" s="80" t="s">
        <v>118</v>
      </c>
      <c r="I45" s="150">
        <v>378</v>
      </c>
      <c r="J45" s="160">
        <v>105.9</v>
      </c>
      <c r="K45" s="156">
        <v>106.1</v>
      </c>
      <c r="L45" s="164">
        <f t="shared" si="0"/>
        <v>212</v>
      </c>
      <c r="M45" s="81">
        <f t="shared" si="1"/>
        <v>0.56084656084656082</v>
      </c>
      <c r="N45" s="55"/>
    </row>
    <row r="46" spans="2:14" x14ac:dyDescent="0.25">
      <c r="B46" s="51"/>
      <c r="C46" s="78">
        <v>22</v>
      </c>
      <c r="D46" s="78">
        <v>18</v>
      </c>
      <c r="E46" s="141" t="s">
        <v>101</v>
      </c>
      <c r="F46" s="147" t="s">
        <v>132</v>
      </c>
      <c r="G46" s="144" t="s">
        <v>63</v>
      </c>
      <c r="H46" s="80" t="s">
        <v>108</v>
      </c>
      <c r="I46" s="150">
        <v>350</v>
      </c>
      <c r="J46" s="160">
        <v>94.9</v>
      </c>
      <c r="K46" s="156">
        <v>94.8</v>
      </c>
      <c r="L46" s="153">
        <f t="shared" si="0"/>
        <v>189.7</v>
      </c>
      <c r="M46" s="81">
        <f t="shared" si="1"/>
        <v>0.54199999999999993</v>
      </c>
      <c r="N46" s="55"/>
    </row>
    <row r="47" spans="2:14" x14ac:dyDescent="0.25">
      <c r="B47" s="51"/>
      <c r="C47" s="78">
        <v>23</v>
      </c>
      <c r="D47" s="78">
        <v>21</v>
      </c>
      <c r="E47" s="141" t="s">
        <v>102</v>
      </c>
      <c r="F47" s="147" t="s">
        <v>132</v>
      </c>
      <c r="G47" s="144" t="s">
        <v>63</v>
      </c>
      <c r="H47" s="80" t="s">
        <v>121</v>
      </c>
      <c r="I47" s="150">
        <v>403</v>
      </c>
      <c r="J47" s="160">
        <v>114.4</v>
      </c>
      <c r="K47" s="156">
        <v>114.6</v>
      </c>
      <c r="L47" s="164">
        <f t="shared" si="0"/>
        <v>229</v>
      </c>
      <c r="M47" s="81">
        <f t="shared" si="1"/>
        <v>0.56823821339950376</v>
      </c>
      <c r="N47" s="55"/>
    </row>
    <row r="48" spans="2:14" x14ac:dyDescent="0.25">
      <c r="B48" s="51"/>
      <c r="C48" s="79">
        <v>24</v>
      </c>
      <c r="D48" s="78">
        <v>28</v>
      </c>
      <c r="E48" s="142" t="s">
        <v>100</v>
      </c>
      <c r="F48" s="147" t="s">
        <v>132</v>
      </c>
      <c r="G48" s="144" t="s">
        <v>63</v>
      </c>
      <c r="H48" s="80" t="s">
        <v>128</v>
      </c>
      <c r="I48" s="150">
        <v>391</v>
      </c>
      <c r="J48" s="160">
        <v>113.7</v>
      </c>
      <c r="K48" s="156">
        <v>114.3</v>
      </c>
      <c r="L48" s="164">
        <f t="shared" si="0"/>
        <v>228</v>
      </c>
      <c r="M48" s="81">
        <f t="shared" si="1"/>
        <v>0.58312020460358061</v>
      </c>
      <c r="N48" s="55"/>
    </row>
    <row r="49" spans="2:14" x14ac:dyDescent="0.25">
      <c r="B49" s="51"/>
      <c r="C49" s="78">
        <v>25</v>
      </c>
      <c r="D49" s="78">
        <v>20</v>
      </c>
      <c r="E49" s="141" t="s">
        <v>102</v>
      </c>
      <c r="F49" s="147" t="s">
        <v>132</v>
      </c>
      <c r="G49" s="144" t="s">
        <v>63</v>
      </c>
      <c r="H49" s="80" t="s">
        <v>120</v>
      </c>
      <c r="I49" s="150">
        <v>368</v>
      </c>
      <c r="J49" s="160">
        <v>100.1</v>
      </c>
      <c r="K49" s="156">
        <v>99.9</v>
      </c>
      <c r="L49" s="153">
        <f t="shared" si="0"/>
        <v>200</v>
      </c>
      <c r="M49" s="81">
        <f t="shared" si="1"/>
        <v>0.54347826086956519</v>
      </c>
      <c r="N49" s="55"/>
    </row>
    <row r="50" spans="2:14" x14ac:dyDescent="0.25">
      <c r="B50" s="51"/>
      <c r="C50" s="78">
        <v>26</v>
      </c>
      <c r="D50" s="78">
        <v>16</v>
      </c>
      <c r="E50" s="141" t="s">
        <v>100</v>
      </c>
      <c r="F50" s="147" t="s">
        <v>132</v>
      </c>
      <c r="G50" s="144" t="s">
        <v>63</v>
      </c>
      <c r="H50" s="80" t="s">
        <v>117</v>
      </c>
      <c r="I50" s="150">
        <v>356</v>
      </c>
      <c r="J50" s="160">
        <v>99.7</v>
      </c>
      <c r="K50" s="156">
        <v>99.3</v>
      </c>
      <c r="L50" s="153">
        <f t="shared" si="0"/>
        <v>199</v>
      </c>
      <c r="M50" s="81">
        <f t="shared" si="1"/>
        <v>0.5589887640449438</v>
      </c>
      <c r="N50" s="55"/>
    </row>
    <row r="51" spans="2:14" x14ac:dyDescent="0.25">
      <c r="B51" s="51"/>
      <c r="C51" s="78">
        <v>27</v>
      </c>
      <c r="D51" s="78">
        <v>24</v>
      </c>
      <c r="E51" s="141" t="s">
        <v>100</v>
      </c>
      <c r="F51" s="147" t="s">
        <v>132</v>
      </c>
      <c r="G51" s="144" t="s">
        <v>63</v>
      </c>
      <c r="H51" s="80" t="s">
        <v>124</v>
      </c>
      <c r="I51" s="150">
        <v>370</v>
      </c>
      <c r="J51" s="160">
        <v>104.6</v>
      </c>
      <c r="K51" s="156">
        <v>104.1</v>
      </c>
      <c r="L51" s="153">
        <f t="shared" si="0"/>
        <v>208.7</v>
      </c>
      <c r="M51" s="81">
        <f t="shared" si="1"/>
        <v>0.56405405405405407</v>
      </c>
      <c r="N51" s="55"/>
    </row>
    <row r="52" spans="2:14" x14ac:dyDescent="0.25">
      <c r="B52" s="51"/>
      <c r="C52" s="79">
        <v>28</v>
      </c>
      <c r="D52" s="78">
        <v>27</v>
      </c>
      <c r="E52" s="142" t="s">
        <v>100</v>
      </c>
      <c r="F52" s="147" t="s">
        <v>132</v>
      </c>
      <c r="G52" s="144" t="s">
        <v>63</v>
      </c>
      <c r="H52" s="80" t="s">
        <v>127</v>
      </c>
      <c r="I52" s="150">
        <v>425</v>
      </c>
      <c r="J52" s="160">
        <v>122.4</v>
      </c>
      <c r="K52" s="156">
        <v>124.1</v>
      </c>
      <c r="L52" s="164">
        <f t="shared" si="0"/>
        <v>246.5</v>
      </c>
      <c r="M52" s="81">
        <f t="shared" si="1"/>
        <v>0.57999999999999996</v>
      </c>
      <c r="N52" s="55"/>
    </row>
    <row r="53" spans="2:14" x14ac:dyDescent="0.25">
      <c r="B53" s="51"/>
      <c r="C53" s="79">
        <v>29</v>
      </c>
      <c r="D53" s="78">
        <v>25</v>
      </c>
      <c r="E53" s="142" t="s">
        <v>101</v>
      </c>
      <c r="F53" s="147" t="s">
        <v>132</v>
      </c>
      <c r="G53" s="144" t="s">
        <v>63</v>
      </c>
      <c r="H53" s="80" t="s">
        <v>125</v>
      </c>
      <c r="I53" s="150">
        <v>392</v>
      </c>
      <c r="J53" s="160">
        <v>101.3</v>
      </c>
      <c r="K53" s="156">
        <v>100.9</v>
      </c>
      <c r="L53" s="153">
        <f t="shared" si="0"/>
        <v>202.2</v>
      </c>
      <c r="M53" s="81">
        <f t="shared" si="1"/>
        <v>0.51581632653061227</v>
      </c>
      <c r="N53" s="55"/>
    </row>
    <row r="54" spans="2:14" x14ac:dyDescent="0.25">
      <c r="B54" s="51"/>
      <c r="C54" s="78">
        <v>30</v>
      </c>
      <c r="D54" s="78">
        <v>22</v>
      </c>
      <c r="E54" s="141" t="s">
        <v>102</v>
      </c>
      <c r="F54" s="148" t="s">
        <v>132</v>
      </c>
      <c r="G54" s="144" t="s">
        <v>63</v>
      </c>
      <c r="H54" s="80" t="s">
        <v>122</v>
      </c>
      <c r="I54" s="150">
        <v>483</v>
      </c>
      <c r="J54" s="162">
        <v>142.19999999999999</v>
      </c>
      <c r="K54" s="158">
        <v>141.80000000000001</v>
      </c>
      <c r="L54" s="164">
        <f t="shared" si="0"/>
        <v>284</v>
      </c>
      <c r="M54" s="81">
        <f t="shared" si="1"/>
        <v>0.587991718426501</v>
      </c>
      <c r="N54" s="55"/>
    </row>
    <row r="55" spans="2:14" x14ac:dyDescent="0.25">
      <c r="B55" s="51"/>
      <c r="C55" s="91"/>
      <c r="D55" s="91">
        <f>+COUNT($D$24:$D$54)</f>
        <v>30</v>
      </c>
      <c r="E55" s="91"/>
      <c r="F55" s="192"/>
      <c r="G55" s="193"/>
      <c r="H55" s="85"/>
      <c r="I55" s="86">
        <f>SUM($I$24:$I$54)</f>
        <v>11500</v>
      </c>
      <c r="J55" s="84">
        <f>SUM($J$24:$J$54)</f>
        <v>3249.8</v>
      </c>
      <c r="K55" s="154">
        <f>SUM($K$24:$K$54)</f>
        <v>3246.5000000000005</v>
      </c>
      <c r="L55" s="86">
        <f>SUM($L$24:$L$54)</f>
        <v>6496.2999999999993</v>
      </c>
      <c r="M55" s="87">
        <f t="shared" si="1"/>
        <v>0.56489565217391302</v>
      </c>
      <c r="N55" s="55"/>
    </row>
    <row r="56" spans="2:14" ht="16.5" thickBot="1" x14ac:dyDescent="0.3">
      <c r="B56" s="60"/>
      <c r="C56" s="61"/>
      <c r="D56" s="61"/>
      <c r="E56" s="61"/>
      <c r="F56" s="61"/>
      <c r="G56" s="61"/>
      <c r="H56" s="62"/>
      <c r="I56" s="61"/>
      <c r="J56" s="62"/>
      <c r="K56" s="61"/>
      <c r="L56" s="61"/>
      <c r="M56" s="61"/>
      <c r="N56" s="63"/>
    </row>
    <row r="57" spans="2:14" ht="17.25" thickTop="1" thickBot="1" x14ac:dyDescent="0.3">
      <c r="B57" s="48"/>
      <c r="C57" s="48"/>
      <c r="D57" s="48"/>
      <c r="E57" s="48"/>
      <c r="F57" s="48"/>
      <c r="G57" s="48"/>
      <c r="H57" s="49"/>
      <c r="I57" s="48"/>
      <c r="J57" s="49"/>
      <c r="K57" s="48"/>
      <c r="L57" s="48"/>
      <c r="M57" s="48"/>
      <c r="N57" s="48"/>
    </row>
    <row r="58" spans="2:14" ht="16.5" thickTop="1" x14ac:dyDescent="0.25">
      <c r="B58" s="47"/>
      <c r="C58" s="48"/>
      <c r="D58" s="48"/>
      <c r="E58" s="48"/>
      <c r="F58" s="48"/>
      <c r="G58" s="48"/>
      <c r="H58" s="49"/>
      <c r="I58" s="48"/>
      <c r="J58" s="49"/>
      <c r="K58" s="48"/>
      <c r="L58" s="48"/>
      <c r="M58" s="48"/>
      <c r="N58" s="50"/>
    </row>
    <row r="59" spans="2:14" ht="32.25" customHeight="1" x14ac:dyDescent="0.25">
      <c r="B59" s="51"/>
      <c r="D59" s="194" t="s">
        <v>83</v>
      </c>
      <c r="E59" s="195"/>
      <c r="F59" s="195"/>
      <c r="G59" s="195"/>
      <c r="H59" s="106" t="s">
        <v>84</v>
      </c>
      <c r="I59" s="107" t="s">
        <v>59</v>
      </c>
      <c r="J59" s="108" t="s">
        <v>85</v>
      </c>
      <c r="K59" s="109" t="s">
        <v>86</v>
      </c>
      <c r="N59" s="55"/>
    </row>
    <row r="60" spans="2:14" x14ac:dyDescent="0.25">
      <c r="B60" s="51"/>
      <c r="D60" s="196" t="s">
        <v>20</v>
      </c>
      <c r="E60" s="197"/>
      <c r="F60" s="197"/>
      <c r="G60" s="197"/>
      <c r="H60" s="110"/>
      <c r="J60" s="110"/>
      <c r="K60" s="111"/>
      <c r="N60" s="55"/>
    </row>
    <row r="61" spans="2:14" x14ac:dyDescent="0.25">
      <c r="B61" s="51"/>
      <c r="D61" s="196" t="s">
        <v>7</v>
      </c>
      <c r="E61" s="197"/>
      <c r="F61" s="197"/>
      <c r="G61" s="197"/>
      <c r="H61" s="110"/>
      <c r="J61" s="110"/>
      <c r="K61" s="111"/>
      <c r="N61" s="55"/>
    </row>
    <row r="62" spans="2:14" x14ac:dyDescent="0.25">
      <c r="B62" s="51"/>
      <c r="D62" s="196" t="s">
        <v>6</v>
      </c>
      <c r="E62" s="197"/>
      <c r="F62" s="197"/>
      <c r="G62" s="197"/>
      <c r="H62" s="110"/>
      <c r="J62" s="110"/>
      <c r="K62" s="111"/>
      <c r="N62" s="55"/>
    </row>
    <row r="63" spans="2:14" x14ac:dyDescent="0.25">
      <c r="B63" s="51"/>
      <c r="D63" s="196" t="s">
        <v>10</v>
      </c>
      <c r="E63" s="197"/>
      <c r="F63" s="197"/>
      <c r="G63" s="197"/>
      <c r="H63" s="110"/>
      <c r="J63" s="110"/>
      <c r="K63" s="111"/>
      <c r="N63" s="55"/>
    </row>
    <row r="64" spans="2:14" x14ac:dyDescent="0.25">
      <c r="B64" s="51"/>
      <c r="D64" s="196" t="s">
        <v>21</v>
      </c>
      <c r="E64" s="197"/>
      <c r="F64" s="197"/>
      <c r="G64" s="197"/>
      <c r="H64" s="110"/>
      <c r="J64" s="110"/>
      <c r="K64" s="111"/>
      <c r="N64" s="55"/>
    </row>
    <row r="65" spans="2:14" x14ac:dyDescent="0.25">
      <c r="B65" s="51"/>
      <c r="D65" s="196" t="s">
        <v>5</v>
      </c>
      <c r="E65" s="197"/>
      <c r="F65" s="197"/>
      <c r="G65" s="197"/>
      <c r="H65" s="110"/>
      <c r="J65" s="110"/>
      <c r="K65" s="111"/>
      <c r="N65" s="55"/>
    </row>
    <row r="66" spans="2:14" x14ac:dyDescent="0.25">
      <c r="B66" s="51"/>
      <c r="D66" s="196" t="s">
        <v>22</v>
      </c>
      <c r="E66" s="197"/>
      <c r="F66" s="197"/>
      <c r="G66" s="197"/>
      <c r="H66" s="110"/>
      <c r="J66" s="110"/>
      <c r="K66" s="111"/>
      <c r="N66" s="55"/>
    </row>
    <row r="67" spans="2:14" x14ac:dyDescent="0.25">
      <c r="B67" s="51"/>
      <c r="D67" s="196" t="s">
        <v>8</v>
      </c>
      <c r="E67" s="197"/>
      <c r="F67" s="197"/>
      <c r="G67" s="197"/>
      <c r="H67" s="110"/>
      <c r="J67" s="110"/>
      <c r="K67" s="111"/>
      <c r="N67" s="55"/>
    </row>
    <row r="68" spans="2:14" x14ac:dyDescent="0.25">
      <c r="B68" s="51"/>
      <c r="D68" s="196" t="s">
        <v>23</v>
      </c>
      <c r="E68" s="197"/>
      <c r="F68" s="197"/>
      <c r="G68" s="197"/>
      <c r="H68" s="110"/>
      <c r="J68" s="110"/>
      <c r="K68" s="111"/>
      <c r="N68" s="55"/>
    </row>
    <row r="69" spans="2:14" x14ac:dyDescent="0.25">
      <c r="B69" s="51"/>
      <c r="D69" s="196" t="s">
        <v>36</v>
      </c>
      <c r="E69" s="197"/>
      <c r="F69" s="197"/>
      <c r="G69" s="197"/>
      <c r="H69" s="110"/>
      <c r="J69" s="110"/>
      <c r="K69" s="111"/>
      <c r="N69" s="55"/>
    </row>
    <row r="70" spans="2:14" x14ac:dyDescent="0.25">
      <c r="B70" s="51"/>
      <c r="D70" s="196" t="s">
        <v>9</v>
      </c>
      <c r="E70" s="197"/>
      <c r="F70" s="197"/>
      <c r="G70" s="197"/>
      <c r="H70" s="110"/>
      <c r="J70" s="110"/>
      <c r="K70" s="111"/>
      <c r="N70" s="55"/>
    </row>
    <row r="71" spans="2:14" x14ac:dyDescent="0.25">
      <c r="B71" s="51"/>
      <c r="D71" s="196" t="s">
        <v>24</v>
      </c>
      <c r="E71" s="197"/>
      <c r="F71" s="197"/>
      <c r="G71" s="197"/>
      <c r="H71" s="110"/>
      <c r="J71" s="110"/>
      <c r="K71" s="111"/>
      <c r="N71" s="55"/>
    </row>
    <row r="72" spans="2:14" x14ac:dyDescent="0.25">
      <c r="B72" s="51"/>
      <c r="D72" s="196" t="s">
        <v>37</v>
      </c>
      <c r="E72" s="197"/>
      <c r="F72" s="197"/>
      <c r="G72" s="197"/>
      <c r="H72" s="110"/>
      <c r="J72" s="110"/>
      <c r="K72" s="111"/>
      <c r="N72" s="55"/>
    </row>
    <row r="73" spans="2:14" x14ac:dyDescent="0.25">
      <c r="B73" s="51"/>
      <c r="D73" s="201" t="s">
        <v>87</v>
      </c>
      <c r="E73" s="202"/>
      <c r="F73" s="202"/>
      <c r="G73" s="203"/>
      <c r="H73" s="112"/>
      <c r="I73" s="113">
        <f>SUM(I60:I72)</f>
        <v>0</v>
      </c>
      <c r="J73" s="114">
        <f>SUM(J60:J72)</f>
        <v>0</v>
      </c>
      <c r="K73" s="115">
        <f>SUM(K60:K72)</f>
        <v>0</v>
      </c>
      <c r="N73" s="55"/>
    </row>
    <row r="74" spans="2:14" ht="16.5" thickBot="1" x14ac:dyDescent="0.3">
      <c r="B74" s="60"/>
      <c r="C74" s="61"/>
      <c r="D74" s="61"/>
      <c r="E74" s="61"/>
      <c r="F74" s="61"/>
      <c r="G74" s="61"/>
      <c r="H74" s="62"/>
      <c r="I74" s="61"/>
      <c r="J74" s="62"/>
      <c r="K74" s="61"/>
      <c r="L74" s="61"/>
      <c r="M74" s="61"/>
      <c r="N74" s="63"/>
    </row>
    <row r="75" spans="2:14" ht="16.5" thickTop="1" x14ac:dyDescent="0.25">
      <c r="B75" s="51"/>
      <c r="G75" s="116"/>
      <c r="H75" s="117"/>
      <c r="I75" s="116"/>
      <c r="J75" s="117"/>
      <c r="N75" s="55"/>
    </row>
    <row r="76" spans="2:14" ht="15.75" customHeight="1" x14ac:dyDescent="0.25">
      <c r="B76" s="51"/>
      <c r="F76" s="204" t="s">
        <v>88</v>
      </c>
      <c r="G76" s="204"/>
      <c r="H76" s="118" t="s">
        <v>89</v>
      </c>
      <c r="I76" s="106" t="s">
        <v>77</v>
      </c>
      <c r="N76" s="55"/>
    </row>
    <row r="77" spans="2:14" x14ac:dyDescent="0.25">
      <c r="B77" s="51"/>
      <c r="F77" s="205" t="s">
        <v>35</v>
      </c>
      <c r="G77" s="205"/>
      <c r="H77" s="119"/>
      <c r="I77" s="120"/>
      <c r="N77" s="55"/>
    </row>
    <row r="78" spans="2:14" x14ac:dyDescent="0.25">
      <c r="B78" s="51"/>
      <c r="F78" s="198" t="s">
        <v>90</v>
      </c>
      <c r="G78" s="198"/>
      <c r="H78" s="121">
        <f>+D55</f>
        <v>30</v>
      </c>
      <c r="I78" s="122"/>
      <c r="N78" s="55"/>
    </row>
    <row r="79" spans="2:14" x14ac:dyDescent="0.25">
      <c r="B79" s="51"/>
      <c r="F79" s="198" t="s">
        <v>91</v>
      </c>
      <c r="G79" s="198"/>
      <c r="H79" s="123"/>
      <c r="I79" s="122"/>
      <c r="N79" s="55"/>
    </row>
    <row r="80" spans="2:14" x14ac:dyDescent="0.25">
      <c r="B80" s="51"/>
      <c r="F80" s="198" t="s">
        <v>92</v>
      </c>
      <c r="G80" s="198"/>
      <c r="H80" s="123"/>
      <c r="I80" s="122"/>
      <c r="N80" s="55"/>
    </row>
    <row r="81" spans="2:14" x14ac:dyDescent="0.25">
      <c r="B81" s="51"/>
      <c r="F81" s="199" t="s">
        <v>93</v>
      </c>
      <c r="G81" s="199"/>
      <c r="H81" s="124"/>
      <c r="I81" s="125"/>
      <c r="N81" s="55"/>
    </row>
    <row r="82" spans="2:14" x14ac:dyDescent="0.25">
      <c r="B82" s="51"/>
      <c r="F82" s="200" t="s">
        <v>87</v>
      </c>
      <c r="G82" s="200"/>
      <c r="H82" s="126"/>
      <c r="I82" s="112">
        <f>SUM(I77:I81)</f>
        <v>0</v>
      </c>
      <c r="N82" s="55"/>
    </row>
    <row r="83" spans="2:14" ht="16.5" thickBot="1" x14ac:dyDescent="0.3">
      <c r="B83" s="60"/>
      <c r="C83" s="61"/>
      <c r="D83" s="61"/>
      <c r="E83" s="61"/>
      <c r="F83" s="61"/>
      <c r="G83" s="61"/>
      <c r="H83" s="62"/>
      <c r="I83" s="61"/>
      <c r="J83" s="62"/>
      <c r="K83" s="61"/>
      <c r="L83" s="61"/>
      <c r="M83" s="61"/>
      <c r="N83" s="63"/>
    </row>
    <row r="84" spans="2:14" ht="16.5" thickTop="1" x14ac:dyDescent="0.25">
      <c r="I84" s="88"/>
    </row>
  </sheetData>
  <sortState ref="C25:I54">
    <sortCondition ref="C25"/>
  </sortState>
  <mergeCells count="53">
    <mergeCell ref="F80:G80"/>
    <mergeCell ref="F81:G81"/>
    <mergeCell ref="F82:G82"/>
    <mergeCell ref="D73:G73"/>
    <mergeCell ref="F76:G76"/>
    <mergeCell ref="F77:G77"/>
    <mergeCell ref="F78:G78"/>
    <mergeCell ref="F79:G79"/>
    <mergeCell ref="D68:G68"/>
    <mergeCell ref="D69:G69"/>
    <mergeCell ref="D70:G70"/>
    <mergeCell ref="D71:G71"/>
    <mergeCell ref="D72:G72"/>
    <mergeCell ref="D63:G63"/>
    <mergeCell ref="D64:G64"/>
    <mergeCell ref="D65:G65"/>
    <mergeCell ref="D66:G66"/>
    <mergeCell ref="D67:G67"/>
    <mergeCell ref="F55:G55"/>
    <mergeCell ref="D59:G59"/>
    <mergeCell ref="D60:G60"/>
    <mergeCell ref="D61:G61"/>
    <mergeCell ref="D62:G62"/>
    <mergeCell ref="C23:C24"/>
    <mergeCell ref="D23:D24"/>
    <mergeCell ref="E23:E24"/>
    <mergeCell ref="F23:G23"/>
    <mergeCell ref="H23:H24"/>
    <mergeCell ref="I23:I24"/>
    <mergeCell ref="J23:J24"/>
    <mergeCell ref="K23:K24"/>
    <mergeCell ref="L23:L24"/>
    <mergeCell ref="M23:M24"/>
    <mergeCell ref="C18:D18"/>
    <mergeCell ref="E18:F18"/>
    <mergeCell ref="C19:D19"/>
    <mergeCell ref="E19:F19"/>
    <mergeCell ref="C20:D20"/>
    <mergeCell ref="E20:F20"/>
    <mergeCell ref="C15:D15"/>
    <mergeCell ref="E15:F15"/>
    <mergeCell ref="C16:D16"/>
    <mergeCell ref="E16:F16"/>
    <mergeCell ref="C17:D17"/>
    <mergeCell ref="E17:F17"/>
    <mergeCell ref="L9:M9"/>
    <mergeCell ref="E14:F14"/>
    <mergeCell ref="L10:M10"/>
    <mergeCell ref="C8:D8"/>
    <mergeCell ref="E8:H8"/>
    <mergeCell ref="C9:D9"/>
    <mergeCell ref="E9:H9"/>
    <mergeCell ref="J8:M8"/>
  </mergeCells>
  <conditionalFormatting sqref="M25:M54">
    <cfRule type="cellIs" dxfId="1" priority="1" operator="greaterThan">
      <formula>0.7</formula>
    </cfRule>
  </conditionalFormatting>
  <pageMargins left="0" right="0" top="0" bottom="0" header="0.31496062992125984" footer="0.31496062992125984"/>
  <pageSetup paperSize="9" scale="7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P84"/>
  <sheetViews>
    <sheetView topLeftCell="A22" zoomScaleNormal="100" workbookViewId="0">
      <selection activeCell="P50" sqref="P50"/>
    </sheetView>
  </sheetViews>
  <sheetFormatPr baseColWidth="10" defaultColWidth="12.42578125" defaultRowHeight="15.75" x14ac:dyDescent="0.25"/>
  <cols>
    <col min="1" max="1" width="4" style="45" customWidth="1"/>
    <col min="2" max="2" width="3.7109375" style="45" customWidth="1"/>
    <col min="3" max="3" width="9.5703125" style="45" customWidth="1"/>
    <col min="4" max="4" width="9.7109375" style="45" customWidth="1"/>
    <col min="5" max="5" width="6.42578125" style="45" customWidth="1"/>
    <col min="6" max="7" width="12.7109375" style="45" customWidth="1"/>
    <col min="8" max="8" width="17.42578125" style="46" customWidth="1"/>
    <col min="9" max="9" width="12.7109375" style="45" customWidth="1"/>
    <col min="10" max="10" width="14.42578125" style="46" bestFit="1" customWidth="1"/>
    <col min="11" max="12" width="12.7109375" style="45" customWidth="1"/>
    <col min="13" max="13" width="12.42578125" style="45"/>
    <col min="14" max="14" width="3.7109375" style="45" customWidth="1"/>
    <col min="15" max="16384" width="12.42578125" style="45"/>
  </cols>
  <sheetData>
    <row r="1" spans="2:14" ht="16.5" thickBot="1" x14ac:dyDescent="0.3"/>
    <row r="2" spans="2:14" ht="17.25" thickTop="1" thickBot="1" x14ac:dyDescent="0.3">
      <c r="B2" s="47"/>
      <c r="C2" s="48"/>
      <c r="D2" s="48"/>
      <c r="E2" s="48"/>
      <c r="F2" s="48"/>
      <c r="G2" s="48"/>
      <c r="H2" s="49"/>
      <c r="I2" s="48"/>
      <c r="J2" s="49"/>
      <c r="K2" s="48"/>
      <c r="L2" s="48"/>
      <c r="M2" s="48"/>
      <c r="N2" s="50"/>
    </row>
    <row r="3" spans="2:14" ht="17.25" thickTop="1" thickBot="1" x14ac:dyDescent="0.3">
      <c r="B3" s="51"/>
      <c r="G3" s="45" t="s">
        <v>50</v>
      </c>
      <c r="H3" s="45"/>
      <c r="J3" s="45"/>
      <c r="K3" s="53" t="s">
        <v>25</v>
      </c>
      <c r="L3" s="54">
        <f>+M55</f>
        <v>0.56124347826086984</v>
      </c>
      <c r="N3" s="55"/>
    </row>
    <row r="4" spans="2:14" ht="17.25" thickTop="1" thickBot="1" x14ac:dyDescent="0.3">
      <c r="B4" s="51"/>
      <c r="G4" s="46" t="s">
        <v>51</v>
      </c>
      <c r="K4" s="53" t="s">
        <v>26</v>
      </c>
      <c r="L4" s="57">
        <f>+L55/D55</f>
        <v>215.14333333333343</v>
      </c>
      <c r="N4" s="55"/>
    </row>
    <row r="5" spans="2:14" ht="16.5" thickTop="1" x14ac:dyDescent="0.25">
      <c r="B5" s="51"/>
      <c r="G5" s="46" t="s">
        <v>52</v>
      </c>
      <c r="K5" s="58"/>
      <c r="L5" s="59"/>
      <c r="N5" s="55"/>
    </row>
    <row r="6" spans="2:14" ht="16.5" thickBot="1" x14ac:dyDescent="0.3">
      <c r="B6" s="60"/>
      <c r="C6" s="61"/>
      <c r="D6" s="61"/>
      <c r="E6" s="61"/>
      <c r="F6" s="61"/>
      <c r="G6" s="61"/>
      <c r="H6" s="62"/>
      <c r="I6" s="61"/>
      <c r="J6" s="62"/>
      <c r="K6" s="61"/>
      <c r="L6" s="61"/>
      <c r="M6" s="61"/>
      <c r="N6" s="63"/>
    </row>
    <row r="7" spans="2:14" ht="8.1" customHeight="1" thickTop="1" x14ac:dyDescent="0.25">
      <c r="B7" s="47"/>
      <c r="C7" s="48"/>
      <c r="D7" s="48"/>
      <c r="E7" s="48"/>
      <c r="F7" s="48"/>
      <c r="G7" s="48"/>
      <c r="H7" s="49"/>
      <c r="I7" s="47"/>
      <c r="J7" s="49"/>
      <c r="K7" s="48"/>
      <c r="L7" s="48"/>
      <c r="M7" s="48"/>
      <c r="N7" s="50"/>
    </row>
    <row r="8" spans="2:14" x14ac:dyDescent="0.25">
      <c r="B8" s="51"/>
      <c r="C8" s="169" t="s">
        <v>53</v>
      </c>
      <c r="D8" s="169"/>
      <c r="E8" s="170" t="s">
        <v>94</v>
      </c>
      <c r="F8" s="170"/>
      <c r="G8" s="170"/>
      <c r="H8" s="171"/>
      <c r="I8" s="64" t="s">
        <v>54</v>
      </c>
      <c r="J8" s="173" t="s">
        <v>95</v>
      </c>
      <c r="K8" s="173"/>
      <c r="L8" s="173"/>
      <c r="M8" s="173"/>
      <c r="N8" s="55"/>
    </row>
    <row r="9" spans="2:14" x14ac:dyDescent="0.25">
      <c r="B9" s="51"/>
      <c r="C9" s="172" t="s">
        <v>55</v>
      </c>
      <c r="D9" s="172"/>
      <c r="E9" s="170">
        <v>27345</v>
      </c>
      <c r="F9" s="170"/>
      <c r="G9" s="170"/>
      <c r="H9" s="171"/>
      <c r="I9" s="64" t="s">
        <v>56</v>
      </c>
      <c r="J9" s="131" t="s">
        <v>96</v>
      </c>
      <c r="K9" s="129" t="s">
        <v>57</v>
      </c>
      <c r="L9" s="166" t="s">
        <v>97</v>
      </c>
      <c r="M9" s="166"/>
      <c r="N9" s="55"/>
    </row>
    <row r="10" spans="2:14" x14ac:dyDescent="0.25">
      <c r="B10" s="51"/>
      <c r="C10" s="133"/>
      <c r="D10" s="133"/>
      <c r="E10" s="132"/>
      <c r="F10" s="132"/>
      <c r="G10" s="132"/>
      <c r="H10" s="94"/>
      <c r="I10" s="64" t="s">
        <v>81</v>
      </c>
      <c r="J10" s="134">
        <v>46159</v>
      </c>
      <c r="K10" s="129" t="s">
        <v>82</v>
      </c>
      <c r="L10" s="168">
        <v>0.5</v>
      </c>
      <c r="M10" s="166"/>
      <c r="N10" s="55"/>
    </row>
    <row r="11" spans="2:14" ht="8.1" customHeight="1" thickBot="1" x14ac:dyDescent="0.3">
      <c r="B11" s="60"/>
      <c r="C11" s="65"/>
      <c r="D11" s="65"/>
      <c r="E11" s="61"/>
      <c r="F11" s="61"/>
      <c r="G11" s="61"/>
      <c r="H11" s="62"/>
      <c r="I11" s="60"/>
      <c r="J11" s="62"/>
      <c r="K11" s="61"/>
      <c r="L11" s="61"/>
      <c r="M11" s="61"/>
      <c r="N11" s="63"/>
    </row>
    <row r="12" spans="2:14" ht="8.1" customHeight="1" thickTop="1" x14ac:dyDescent="0.25">
      <c r="B12" s="51"/>
      <c r="C12" s="66"/>
      <c r="D12" s="66"/>
      <c r="E12" s="52"/>
      <c r="F12" s="52"/>
      <c r="G12" s="52"/>
      <c r="H12" s="56"/>
      <c r="I12" s="52"/>
      <c r="J12" s="56"/>
      <c r="K12" s="52"/>
      <c r="L12" s="52"/>
      <c r="M12" s="52"/>
      <c r="N12" s="55"/>
    </row>
    <row r="13" spans="2:14" ht="8.1" customHeight="1" x14ac:dyDescent="0.25">
      <c r="B13" s="51"/>
      <c r="C13" s="104"/>
      <c r="D13" s="104"/>
      <c r="N13" s="55"/>
    </row>
    <row r="14" spans="2:14" x14ac:dyDescent="0.25">
      <c r="B14" s="51"/>
      <c r="D14" s="129" t="s">
        <v>74</v>
      </c>
      <c r="E14" s="167">
        <v>46160</v>
      </c>
      <c r="F14" s="167"/>
      <c r="H14" s="45"/>
      <c r="I14" s="67"/>
      <c r="J14" s="45"/>
      <c r="K14" s="127" t="s">
        <v>58</v>
      </c>
      <c r="L14" s="127" t="s">
        <v>59</v>
      </c>
      <c r="N14" s="55"/>
    </row>
    <row r="15" spans="2:14" x14ac:dyDescent="0.25">
      <c r="B15" s="51"/>
      <c r="C15" s="169" t="s">
        <v>60</v>
      </c>
      <c r="D15" s="169"/>
      <c r="E15" s="174">
        <v>192</v>
      </c>
      <c r="F15" s="174"/>
      <c r="H15" s="45"/>
      <c r="I15" s="67"/>
      <c r="J15" s="127" t="s">
        <v>61</v>
      </c>
      <c r="K15" s="130">
        <f>+COUNTIF($G$24:$G$55,"VQ")*2</f>
        <v>0</v>
      </c>
      <c r="L15" s="130">
        <f>+SUMIF($G$25:$G$54,"VQ",$L$25:$L$54)</f>
        <v>0</v>
      </c>
      <c r="N15" s="55"/>
    </row>
    <row r="16" spans="2:14" x14ac:dyDescent="0.25">
      <c r="B16" s="51"/>
      <c r="C16" s="169" t="s">
        <v>62</v>
      </c>
      <c r="D16" s="169"/>
      <c r="E16" s="166">
        <v>30</v>
      </c>
      <c r="F16" s="166"/>
      <c r="H16" s="45"/>
      <c r="I16" s="67"/>
      <c r="J16" s="127" t="s">
        <v>63</v>
      </c>
      <c r="K16" s="130">
        <f>+COUNTIF($G$24:$G$55,"NT")*2</f>
        <v>60</v>
      </c>
      <c r="L16" s="130">
        <f>+SUMIF($G$25:$G$54,"NT",$L$25:$L$54)</f>
        <v>6454.3000000000029</v>
      </c>
      <c r="N16" s="55"/>
    </row>
    <row r="17" spans="2:14" x14ac:dyDescent="0.25">
      <c r="B17" s="51"/>
      <c r="C17" s="169" t="s">
        <v>64</v>
      </c>
      <c r="D17" s="169"/>
      <c r="E17" s="175">
        <f>+I55</f>
        <v>11500</v>
      </c>
      <c r="F17" s="166"/>
      <c r="H17" s="45"/>
      <c r="I17" s="67"/>
      <c r="J17" s="127" t="s">
        <v>65</v>
      </c>
      <c r="K17" s="130">
        <f>+COUNTIF($G$24:$G$55,"NO")*2</f>
        <v>0</v>
      </c>
      <c r="L17" s="130">
        <f>+SUMIF($G$25:$G$54,"NO",$L$25:$L$54)</f>
        <v>0</v>
      </c>
      <c r="N17" s="55"/>
    </row>
    <row r="18" spans="2:14" x14ac:dyDescent="0.25">
      <c r="B18" s="51"/>
      <c r="C18" s="169" t="s">
        <v>66</v>
      </c>
      <c r="D18" s="169"/>
      <c r="E18" s="175">
        <f>+L55</f>
        <v>6454.3000000000029</v>
      </c>
      <c r="F18" s="166"/>
      <c r="H18" s="45"/>
      <c r="I18" s="67"/>
      <c r="J18" s="127" t="s">
        <v>67</v>
      </c>
      <c r="K18" s="130">
        <f>+COUNTIF($G$24:$G$55,"TO")*2</f>
        <v>0</v>
      </c>
      <c r="L18" s="130">
        <f>+SUMIF($G$25:$G$54,"TO",$L$25:$L$54)</f>
        <v>0</v>
      </c>
      <c r="N18" s="55"/>
    </row>
    <row r="19" spans="2:14" x14ac:dyDescent="0.25">
      <c r="B19" s="51"/>
      <c r="C19" s="169" t="s">
        <v>68</v>
      </c>
      <c r="D19" s="169"/>
      <c r="E19" s="176">
        <f>+M55</f>
        <v>0.56124347826086984</v>
      </c>
      <c r="F19" s="166"/>
      <c r="G19" s="67"/>
      <c r="H19" s="105"/>
      <c r="I19" s="67"/>
      <c r="J19" s="127" t="s">
        <v>69</v>
      </c>
      <c r="K19" s="130">
        <f>+COUNTIF($G$24:$G$55,"VA")*2</f>
        <v>0</v>
      </c>
      <c r="L19" s="130">
        <f>+SUMIF($G$25:$G$54,"VA",$L$25:$L$54)</f>
        <v>0</v>
      </c>
      <c r="N19" s="55"/>
    </row>
    <row r="20" spans="2:14" x14ac:dyDescent="0.25">
      <c r="B20" s="51"/>
      <c r="C20" s="169" t="s">
        <v>70</v>
      </c>
      <c r="D20" s="169"/>
      <c r="E20" s="173">
        <f>+L55/D55</f>
        <v>215.14333333333343</v>
      </c>
      <c r="F20" s="173"/>
      <c r="G20" s="67"/>
      <c r="H20" s="105"/>
      <c r="I20" s="67"/>
      <c r="J20" s="127" t="s">
        <v>71</v>
      </c>
      <c r="K20" s="130">
        <f>+COUNTIF($G$24:$G$55,"MEJ")*2</f>
        <v>0</v>
      </c>
      <c r="L20" s="130">
        <f>+SUMIF($G$25:$G$54,"MEJ",$L$25:$L$54)</f>
        <v>0</v>
      </c>
      <c r="N20" s="55"/>
    </row>
    <row r="21" spans="2:14" ht="9.9499999999999993" customHeight="1" thickBot="1" x14ac:dyDescent="0.3">
      <c r="B21" s="60"/>
      <c r="C21" s="68"/>
      <c r="D21" s="68"/>
      <c r="E21" s="61"/>
      <c r="F21" s="61"/>
      <c r="G21" s="69"/>
      <c r="H21" s="70"/>
      <c r="I21" s="69"/>
      <c r="J21" s="61"/>
      <c r="K21" s="61"/>
      <c r="L21" s="61"/>
      <c r="M21" s="61"/>
      <c r="N21" s="63"/>
    </row>
    <row r="22" spans="2:14" ht="9.9499999999999993" customHeight="1" thickTop="1" x14ac:dyDescent="0.25">
      <c r="B22" s="51"/>
      <c r="N22" s="55"/>
    </row>
    <row r="23" spans="2:14" s="73" customFormat="1" ht="26.25" customHeight="1" x14ac:dyDescent="0.25">
      <c r="B23" s="71"/>
      <c r="C23" s="184" t="s">
        <v>27</v>
      </c>
      <c r="D23" s="184" t="s">
        <v>28</v>
      </c>
      <c r="E23" s="180" t="s">
        <v>49</v>
      </c>
      <c r="F23" s="188" t="s">
        <v>29</v>
      </c>
      <c r="G23" s="189"/>
      <c r="H23" s="190" t="s">
        <v>30</v>
      </c>
      <c r="I23" s="177" t="s">
        <v>31</v>
      </c>
      <c r="J23" s="177" t="s">
        <v>2</v>
      </c>
      <c r="K23" s="180" t="s">
        <v>3</v>
      </c>
      <c r="L23" s="177" t="s">
        <v>32</v>
      </c>
      <c r="M23" s="182" t="s">
        <v>33</v>
      </c>
      <c r="N23" s="72"/>
    </row>
    <row r="24" spans="2:14" x14ac:dyDescent="0.25">
      <c r="B24" s="51"/>
      <c r="C24" s="185"/>
      <c r="D24" s="186"/>
      <c r="E24" s="187"/>
      <c r="F24" s="145" t="s">
        <v>72</v>
      </c>
      <c r="G24" s="74" t="s">
        <v>73</v>
      </c>
      <c r="H24" s="191"/>
      <c r="I24" s="178"/>
      <c r="J24" s="179"/>
      <c r="K24" s="181"/>
      <c r="L24" s="178"/>
      <c r="M24" s="183"/>
      <c r="N24" s="55"/>
    </row>
    <row r="25" spans="2:14" x14ac:dyDescent="0.25">
      <c r="B25" s="51"/>
      <c r="C25" s="75">
        <v>1</v>
      </c>
      <c r="D25" s="75">
        <v>2</v>
      </c>
      <c r="E25" s="140" t="s">
        <v>101</v>
      </c>
      <c r="F25" s="146" t="s">
        <v>132</v>
      </c>
      <c r="G25" s="143" t="s">
        <v>63</v>
      </c>
      <c r="H25" s="76" t="s">
        <v>104</v>
      </c>
      <c r="I25" s="149">
        <v>430</v>
      </c>
      <c r="J25" s="159">
        <f>+'TROPA 192 '!J25-0.7</f>
        <v>121.2</v>
      </c>
      <c r="K25" s="155">
        <f>+'TROPA 192 '!K25-0.7</f>
        <v>120</v>
      </c>
      <c r="L25" s="152">
        <f t="shared" ref="L25:L54" si="0">+J25+K25</f>
        <v>241.2</v>
      </c>
      <c r="M25" s="77">
        <f t="shared" ref="M25:M55" si="1">+L25/I25</f>
        <v>0.56093023255813956</v>
      </c>
      <c r="N25" s="55"/>
    </row>
    <row r="26" spans="2:14" x14ac:dyDescent="0.25">
      <c r="B26" s="51"/>
      <c r="C26" s="78">
        <v>2</v>
      </c>
      <c r="D26" s="78">
        <v>8</v>
      </c>
      <c r="E26" s="141" t="s">
        <v>102</v>
      </c>
      <c r="F26" s="147" t="s">
        <v>132</v>
      </c>
      <c r="G26" s="144" t="s">
        <v>63</v>
      </c>
      <c r="H26" s="80" t="s">
        <v>110</v>
      </c>
      <c r="I26" s="150">
        <v>407</v>
      </c>
      <c r="J26" s="160">
        <f>+'TROPA 192 '!J26-0.7</f>
        <v>125.1</v>
      </c>
      <c r="K26" s="156">
        <f>+'TROPA 192 '!K26-0.7</f>
        <v>124.3</v>
      </c>
      <c r="L26" s="153">
        <f t="shared" si="0"/>
        <v>249.39999999999998</v>
      </c>
      <c r="M26" s="81">
        <f t="shared" si="1"/>
        <v>0.6127764127764127</v>
      </c>
      <c r="N26" s="55"/>
    </row>
    <row r="27" spans="2:14" x14ac:dyDescent="0.25">
      <c r="B27" s="51"/>
      <c r="C27" s="78">
        <v>3</v>
      </c>
      <c r="D27" s="78">
        <v>12</v>
      </c>
      <c r="E27" s="141" t="s">
        <v>100</v>
      </c>
      <c r="F27" s="147" t="s">
        <v>132</v>
      </c>
      <c r="G27" s="144" t="s">
        <v>63</v>
      </c>
      <c r="H27" s="80" t="s">
        <v>131</v>
      </c>
      <c r="I27" s="150">
        <v>376</v>
      </c>
      <c r="J27" s="160">
        <f>+'TROPA 192 '!J27-0.7</f>
        <v>110.5</v>
      </c>
      <c r="K27" s="156">
        <f>+'TROPA 192 '!K27-0.7</f>
        <v>109.89999999999999</v>
      </c>
      <c r="L27" s="153">
        <f t="shared" si="0"/>
        <v>220.39999999999998</v>
      </c>
      <c r="M27" s="81">
        <f t="shared" si="1"/>
        <v>0.58617021276595738</v>
      </c>
      <c r="N27" s="55"/>
    </row>
    <row r="28" spans="2:14" x14ac:dyDescent="0.25">
      <c r="B28" s="51"/>
      <c r="C28" s="79">
        <v>4</v>
      </c>
      <c r="D28" s="78">
        <v>10</v>
      </c>
      <c r="E28" s="142" t="s">
        <v>101</v>
      </c>
      <c r="F28" s="147" t="s">
        <v>132</v>
      </c>
      <c r="G28" s="144" t="s">
        <v>63</v>
      </c>
      <c r="H28" s="80" t="s">
        <v>112</v>
      </c>
      <c r="I28" s="150">
        <v>384</v>
      </c>
      <c r="J28" s="160">
        <f>+'TROPA 192 '!J28-0.7</f>
        <v>103.1</v>
      </c>
      <c r="K28" s="156">
        <f>+'TROPA 192 '!K28-0.7</f>
        <v>103.39999999999999</v>
      </c>
      <c r="L28" s="153">
        <f t="shared" si="0"/>
        <v>206.5</v>
      </c>
      <c r="M28" s="81">
        <f t="shared" si="1"/>
        <v>0.53776041666666663</v>
      </c>
      <c r="N28" s="55"/>
    </row>
    <row r="29" spans="2:14" x14ac:dyDescent="0.25">
      <c r="B29" s="51"/>
      <c r="C29" s="79">
        <v>5</v>
      </c>
      <c r="D29" s="78">
        <v>14</v>
      </c>
      <c r="E29" s="142" t="s">
        <v>102</v>
      </c>
      <c r="F29" s="147" t="s">
        <v>132</v>
      </c>
      <c r="G29" s="144" t="s">
        <v>63</v>
      </c>
      <c r="H29" s="80" t="s">
        <v>115</v>
      </c>
      <c r="I29" s="150">
        <v>386</v>
      </c>
      <c r="J29" s="160">
        <f>+'TROPA 192 '!J29-0.7</f>
        <v>110.3</v>
      </c>
      <c r="K29" s="156">
        <f>+'TROPA 192 '!K29-0.7</f>
        <v>110.39999999999999</v>
      </c>
      <c r="L29" s="153">
        <f t="shared" si="0"/>
        <v>220.7</v>
      </c>
      <c r="M29" s="81">
        <f t="shared" si="1"/>
        <v>0.57176165803108803</v>
      </c>
      <c r="N29" s="55"/>
    </row>
    <row r="30" spans="2:14" x14ac:dyDescent="0.25">
      <c r="B30" s="51"/>
      <c r="C30" s="78">
        <v>6</v>
      </c>
      <c r="D30" s="78">
        <v>4</v>
      </c>
      <c r="E30" s="141" t="s">
        <v>100</v>
      </c>
      <c r="F30" s="147" t="s">
        <v>132</v>
      </c>
      <c r="G30" s="144" t="s">
        <v>63</v>
      </c>
      <c r="H30" s="80" t="s">
        <v>106</v>
      </c>
      <c r="I30" s="150">
        <v>375</v>
      </c>
      <c r="J30" s="160">
        <f>+'TROPA 192 '!J30-0.7</f>
        <v>101.1</v>
      </c>
      <c r="K30" s="156">
        <f>+'TROPA 192 '!K30-0.7</f>
        <v>101.6</v>
      </c>
      <c r="L30" s="153">
        <f t="shared" si="0"/>
        <v>202.7</v>
      </c>
      <c r="M30" s="81">
        <f t="shared" si="1"/>
        <v>0.54053333333333331</v>
      </c>
      <c r="N30" s="55"/>
    </row>
    <row r="31" spans="2:14" x14ac:dyDescent="0.25">
      <c r="B31" s="51"/>
      <c r="C31" s="78">
        <v>7</v>
      </c>
      <c r="D31" s="78">
        <v>1</v>
      </c>
      <c r="E31" s="141" t="s">
        <v>100</v>
      </c>
      <c r="F31" s="147" t="s">
        <v>132</v>
      </c>
      <c r="G31" s="144" t="s">
        <v>63</v>
      </c>
      <c r="H31" s="80" t="s">
        <v>103</v>
      </c>
      <c r="I31" s="150">
        <v>358</v>
      </c>
      <c r="J31" s="160">
        <f>+'TROPA 192 '!J31-0.7</f>
        <v>103.2</v>
      </c>
      <c r="K31" s="156">
        <f>+'TROPA 192 '!K31-0.7</f>
        <v>101.7</v>
      </c>
      <c r="L31" s="153">
        <f t="shared" si="0"/>
        <v>204.9</v>
      </c>
      <c r="M31" s="81">
        <f t="shared" si="1"/>
        <v>0.57234636871508382</v>
      </c>
      <c r="N31" s="55"/>
    </row>
    <row r="32" spans="2:14" x14ac:dyDescent="0.25">
      <c r="B32" s="51"/>
      <c r="C32" s="78">
        <v>8</v>
      </c>
      <c r="D32" s="78">
        <v>6</v>
      </c>
      <c r="E32" s="141" t="s">
        <v>101</v>
      </c>
      <c r="F32" s="147" t="s">
        <v>132</v>
      </c>
      <c r="G32" s="144" t="s">
        <v>63</v>
      </c>
      <c r="H32" s="80" t="s">
        <v>108</v>
      </c>
      <c r="I32" s="150">
        <v>375</v>
      </c>
      <c r="J32" s="160">
        <f>+'TROPA 192 '!J32-0.7</f>
        <v>105.6</v>
      </c>
      <c r="K32" s="156">
        <f>+'TROPA 192 '!K32-0.7</f>
        <v>104.89999999999999</v>
      </c>
      <c r="L32" s="153">
        <f t="shared" si="0"/>
        <v>210.5</v>
      </c>
      <c r="M32" s="81">
        <f t="shared" si="1"/>
        <v>0.56133333333333335</v>
      </c>
      <c r="N32" s="55"/>
    </row>
    <row r="33" spans="2:14" x14ac:dyDescent="0.25">
      <c r="B33" s="51"/>
      <c r="C33" s="78">
        <v>9</v>
      </c>
      <c r="D33" s="78">
        <v>7</v>
      </c>
      <c r="E33" s="141" t="s">
        <v>100</v>
      </c>
      <c r="F33" s="147" t="s">
        <v>132</v>
      </c>
      <c r="G33" s="144" t="s">
        <v>63</v>
      </c>
      <c r="H33" s="80" t="s">
        <v>109</v>
      </c>
      <c r="I33" s="150">
        <v>358</v>
      </c>
      <c r="J33" s="160">
        <f>+'TROPA 192 '!J33-0.7</f>
        <v>102.39999999999999</v>
      </c>
      <c r="K33" s="156">
        <f>+'TROPA 192 '!K33-0.7</f>
        <v>101.8</v>
      </c>
      <c r="L33" s="153">
        <f t="shared" si="0"/>
        <v>204.2</v>
      </c>
      <c r="M33" s="81">
        <f t="shared" si="1"/>
        <v>0.57039106145251395</v>
      </c>
      <c r="N33" s="55"/>
    </row>
    <row r="34" spans="2:14" x14ac:dyDescent="0.25">
      <c r="B34" s="51"/>
      <c r="C34" s="78">
        <v>10</v>
      </c>
      <c r="D34" s="78">
        <v>9</v>
      </c>
      <c r="E34" s="141" t="s">
        <v>101</v>
      </c>
      <c r="F34" s="147" t="s">
        <v>132</v>
      </c>
      <c r="G34" s="144" t="s">
        <v>63</v>
      </c>
      <c r="H34" s="80" t="s">
        <v>111</v>
      </c>
      <c r="I34" s="150">
        <v>375</v>
      </c>
      <c r="J34" s="160">
        <f>+'TROPA 192 '!J34-0.7</f>
        <v>101</v>
      </c>
      <c r="K34" s="156">
        <f>+'TROPA 192 '!K34-0.7</f>
        <v>100.5</v>
      </c>
      <c r="L34" s="153">
        <f t="shared" si="0"/>
        <v>201.5</v>
      </c>
      <c r="M34" s="81">
        <f t="shared" si="1"/>
        <v>0.53733333333333333</v>
      </c>
      <c r="N34" s="55"/>
    </row>
    <row r="35" spans="2:14" x14ac:dyDescent="0.25">
      <c r="B35" s="51"/>
      <c r="C35" s="78">
        <v>11</v>
      </c>
      <c r="D35" s="78">
        <v>3</v>
      </c>
      <c r="E35" s="141" t="s">
        <v>101</v>
      </c>
      <c r="F35" s="147" t="s">
        <v>132</v>
      </c>
      <c r="G35" s="144" t="s">
        <v>63</v>
      </c>
      <c r="H35" s="80" t="s">
        <v>105</v>
      </c>
      <c r="I35" s="150">
        <v>377</v>
      </c>
      <c r="J35" s="160">
        <f>+'TROPA 192 '!J35-0.7</f>
        <v>108</v>
      </c>
      <c r="K35" s="156">
        <f>+'TROPA 192 '!K35-0.7</f>
        <v>108.89999999999999</v>
      </c>
      <c r="L35" s="153">
        <f t="shared" si="0"/>
        <v>216.89999999999998</v>
      </c>
      <c r="M35" s="81">
        <f t="shared" si="1"/>
        <v>0.57533156498673732</v>
      </c>
      <c r="N35" s="55"/>
    </row>
    <row r="36" spans="2:14" x14ac:dyDescent="0.25">
      <c r="B36" s="51"/>
      <c r="C36" s="78">
        <v>12</v>
      </c>
      <c r="D36" s="78">
        <v>5</v>
      </c>
      <c r="E36" s="141" t="s">
        <v>100</v>
      </c>
      <c r="F36" s="147" t="s">
        <v>132</v>
      </c>
      <c r="G36" s="144" t="s">
        <v>63</v>
      </c>
      <c r="H36" s="80" t="s">
        <v>107</v>
      </c>
      <c r="I36" s="150">
        <v>365</v>
      </c>
      <c r="J36" s="160">
        <f>+'TROPA 192 '!J36-0.7</f>
        <v>97.2</v>
      </c>
      <c r="K36" s="156">
        <f>+'TROPA 192 '!K36-0.7</f>
        <v>98.1</v>
      </c>
      <c r="L36" s="153">
        <f t="shared" si="0"/>
        <v>195.3</v>
      </c>
      <c r="M36" s="81">
        <f t="shared" si="1"/>
        <v>0.53506849315068494</v>
      </c>
      <c r="N36" s="55"/>
    </row>
    <row r="37" spans="2:14" x14ac:dyDescent="0.25">
      <c r="B37" s="51"/>
      <c r="C37" s="78">
        <v>13</v>
      </c>
      <c r="D37" s="78">
        <v>13</v>
      </c>
      <c r="E37" s="141" t="s">
        <v>102</v>
      </c>
      <c r="F37" s="147" t="s">
        <v>132</v>
      </c>
      <c r="G37" s="144" t="s">
        <v>63</v>
      </c>
      <c r="H37" s="80" t="s">
        <v>114</v>
      </c>
      <c r="I37" s="150">
        <v>377</v>
      </c>
      <c r="J37" s="160">
        <f>+'TROPA 192 '!J37-0.7</f>
        <v>102.89999999999999</v>
      </c>
      <c r="K37" s="156">
        <f>+'TROPA 192 '!K37-0.7</f>
        <v>102.7</v>
      </c>
      <c r="L37" s="153">
        <f t="shared" si="0"/>
        <v>205.6</v>
      </c>
      <c r="M37" s="81">
        <f t="shared" si="1"/>
        <v>0.54535809018567638</v>
      </c>
      <c r="N37" s="55"/>
    </row>
    <row r="38" spans="2:14" x14ac:dyDescent="0.25">
      <c r="B38" s="51"/>
      <c r="C38" s="79">
        <v>14</v>
      </c>
      <c r="D38" s="78">
        <v>11</v>
      </c>
      <c r="E38" s="142" t="s">
        <v>102</v>
      </c>
      <c r="F38" s="147" t="s">
        <v>132</v>
      </c>
      <c r="G38" s="144" t="s">
        <v>63</v>
      </c>
      <c r="H38" s="80" t="s">
        <v>113</v>
      </c>
      <c r="I38" s="150">
        <v>369</v>
      </c>
      <c r="J38" s="160">
        <f>+'TROPA 192 '!J38-0.7</f>
        <v>103.8</v>
      </c>
      <c r="K38" s="156">
        <f>+'TROPA 192 '!K38-0.7</f>
        <v>103.5</v>
      </c>
      <c r="L38" s="153">
        <f t="shared" si="0"/>
        <v>207.3</v>
      </c>
      <c r="M38" s="81">
        <f t="shared" si="1"/>
        <v>0.56178861788617884</v>
      </c>
      <c r="N38" s="55"/>
    </row>
    <row r="39" spans="2:14" x14ac:dyDescent="0.25">
      <c r="B39" s="51"/>
      <c r="C39" s="79">
        <v>15</v>
      </c>
      <c r="D39" s="78">
        <v>30</v>
      </c>
      <c r="E39" s="142" t="s">
        <v>102</v>
      </c>
      <c r="F39" s="147" t="s">
        <v>132</v>
      </c>
      <c r="G39" s="144" t="s">
        <v>63</v>
      </c>
      <c r="H39" s="80" t="s">
        <v>130</v>
      </c>
      <c r="I39" s="150">
        <v>356</v>
      </c>
      <c r="J39" s="160">
        <f>+'TROPA 192 '!J39-0.7</f>
        <v>99.5</v>
      </c>
      <c r="K39" s="156">
        <f>+'TROPA 192 '!K39-0.7</f>
        <v>98.5</v>
      </c>
      <c r="L39" s="153">
        <f t="shared" si="0"/>
        <v>198</v>
      </c>
      <c r="M39" s="82">
        <f t="shared" si="1"/>
        <v>0.5561797752808989</v>
      </c>
      <c r="N39" s="55"/>
    </row>
    <row r="40" spans="2:14" x14ac:dyDescent="0.25">
      <c r="B40" s="51"/>
      <c r="C40" s="79">
        <v>16</v>
      </c>
      <c r="D40" s="78">
        <v>23</v>
      </c>
      <c r="E40" s="142" t="s">
        <v>102</v>
      </c>
      <c r="F40" s="147" t="s">
        <v>132</v>
      </c>
      <c r="G40" s="144" t="s">
        <v>63</v>
      </c>
      <c r="H40" s="80" t="s">
        <v>123</v>
      </c>
      <c r="I40" s="150">
        <v>347</v>
      </c>
      <c r="J40" s="160">
        <f>+'TROPA 192 '!J40-0.7</f>
        <v>96.7</v>
      </c>
      <c r="K40" s="156">
        <f>+'TROPA 192 '!K40-0.7</f>
        <v>98.5</v>
      </c>
      <c r="L40" s="153">
        <f t="shared" si="0"/>
        <v>195.2</v>
      </c>
      <c r="M40" s="81">
        <f t="shared" si="1"/>
        <v>0.56253602305475503</v>
      </c>
      <c r="N40" s="55"/>
    </row>
    <row r="41" spans="2:14" x14ac:dyDescent="0.25">
      <c r="B41" s="51"/>
      <c r="C41" s="78">
        <v>17</v>
      </c>
      <c r="D41" s="78">
        <v>15</v>
      </c>
      <c r="E41" s="141" t="s">
        <v>100</v>
      </c>
      <c r="F41" s="147" t="s">
        <v>132</v>
      </c>
      <c r="G41" s="144" t="s">
        <v>63</v>
      </c>
      <c r="H41" s="80" t="s">
        <v>116</v>
      </c>
      <c r="I41" s="150">
        <v>378</v>
      </c>
      <c r="J41" s="160">
        <f>+'TROPA 192 '!J41-0.7</f>
        <v>105.5</v>
      </c>
      <c r="K41" s="156">
        <f>+'TROPA 192 '!K41-0.7</f>
        <v>105.6</v>
      </c>
      <c r="L41" s="153">
        <f t="shared" si="0"/>
        <v>211.1</v>
      </c>
      <c r="M41" s="81">
        <f t="shared" si="1"/>
        <v>0.55846560846560844</v>
      </c>
      <c r="N41" s="55"/>
    </row>
    <row r="42" spans="2:14" x14ac:dyDescent="0.25">
      <c r="B42" s="51"/>
      <c r="C42" s="79">
        <v>18</v>
      </c>
      <c r="D42" s="78">
        <v>29</v>
      </c>
      <c r="E42" s="142" t="s">
        <v>102</v>
      </c>
      <c r="F42" s="147" t="s">
        <v>132</v>
      </c>
      <c r="G42" s="144" t="s">
        <v>63</v>
      </c>
      <c r="H42" s="80" t="s">
        <v>129</v>
      </c>
      <c r="I42" s="150">
        <v>376</v>
      </c>
      <c r="J42" s="160">
        <f>+'TROPA 192 '!J42-0.7</f>
        <v>103.3</v>
      </c>
      <c r="K42" s="156">
        <f>+'TROPA 192 '!K42-0.7</f>
        <v>101.5</v>
      </c>
      <c r="L42" s="153">
        <f t="shared" si="0"/>
        <v>204.8</v>
      </c>
      <c r="M42" s="81">
        <f t="shared" si="1"/>
        <v>0.5446808510638298</v>
      </c>
      <c r="N42" s="55"/>
    </row>
    <row r="43" spans="2:14" x14ac:dyDescent="0.25">
      <c r="B43" s="51"/>
      <c r="C43" s="78">
        <v>19</v>
      </c>
      <c r="D43" s="78">
        <v>19</v>
      </c>
      <c r="E43" s="141" t="s">
        <v>100</v>
      </c>
      <c r="F43" s="147" t="s">
        <v>132</v>
      </c>
      <c r="G43" s="144" t="s">
        <v>63</v>
      </c>
      <c r="H43" s="83" t="s">
        <v>119</v>
      </c>
      <c r="I43" s="151">
        <v>360</v>
      </c>
      <c r="J43" s="160">
        <f>+'TROPA 192 '!J43-0.7</f>
        <v>104.39999999999999</v>
      </c>
      <c r="K43" s="156">
        <f>+'TROPA 192 '!K43-0.7</f>
        <v>104.8</v>
      </c>
      <c r="L43" s="153">
        <f t="shared" si="0"/>
        <v>209.2</v>
      </c>
      <c r="M43" s="81">
        <f t="shared" si="1"/>
        <v>0.58111111111111113</v>
      </c>
      <c r="N43" s="55"/>
    </row>
    <row r="44" spans="2:14" x14ac:dyDescent="0.25">
      <c r="B44" s="51"/>
      <c r="C44" s="79">
        <v>20</v>
      </c>
      <c r="D44" s="78">
        <v>26</v>
      </c>
      <c r="E44" s="142" t="s">
        <v>102</v>
      </c>
      <c r="F44" s="147" t="s">
        <v>132</v>
      </c>
      <c r="G44" s="144" t="s">
        <v>63</v>
      </c>
      <c r="H44" s="80" t="s">
        <v>126</v>
      </c>
      <c r="I44" s="150">
        <v>455</v>
      </c>
      <c r="J44" s="160">
        <f>+'TROPA 192 '!J44-0.7</f>
        <v>131.80000000000001</v>
      </c>
      <c r="K44" s="156">
        <f>+'TROPA 192 '!K44-0.7</f>
        <v>132</v>
      </c>
      <c r="L44" s="153">
        <f t="shared" si="0"/>
        <v>263.8</v>
      </c>
      <c r="M44" s="81">
        <f t="shared" si="1"/>
        <v>0.57978021978021976</v>
      </c>
      <c r="N44" s="55"/>
    </row>
    <row r="45" spans="2:14" x14ac:dyDescent="0.25">
      <c r="B45" s="51"/>
      <c r="C45" s="78">
        <v>21</v>
      </c>
      <c r="D45" s="78">
        <v>17</v>
      </c>
      <c r="E45" s="141" t="s">
        <v>100</v>
      </c>
      <c r="F45" s="147" t="s">
        <v>132</v>
      </c>
      <c r="G45" s="144" t="s">
        <v>63</v>
      </c>
      <c r="H45" s="80" t="s">
        <v>118</v>
      </c>
      <c r="I45" s="150">
        <v>378</v>
      </c>
      <c r="J45" s="160">
        <f>+'TROPA 192 '!J45-0.7</f>
        <v>105.2</v>
      </c>
      <c r="K45" s="156">
        <f>+'TROPA 192 '!K45-0.7</f>
        <v>105.39999999999999</v>
      </c>
      <c r="L45" s="153">
        <f t="shared" si="0"/>
        <v>210.6</v>
      </c>
      <c r="M45" s="81">
        <f t="shared" si="1"/>
        <v>0.55714285714285716</v>
      </c>
      <c r="N45" s="55"/>
    </row>
    <row r="46" spans="2:14" x14ac:dyDescent="0.25">
      <c r="B46" s="51"/>
      <c r="C46" s="78">
        <v>22</v>
      </c>
      <c r="D46" s="78">
        <v>18</v>
      </c>
      <c r="E46" s="141" t="s">
        <v>101</v>
      </c>
      <c r="F46" s="147" t="s">
        <v>132</v>
      </c>
      <c r="G46" s="144" t="s">
        <v>63</v>
      </c>
      <c r="H46" s="80" t="s">
        <v>108</v>
      </c>
      <c r="I46" s="150">
        <v>350</v>
      </c>
      <c r="J46" s="160">
        <f>+'TROPA 192 '!J46-0.7</f>
        <v>94.2</v>
      </c>
      <c r="K46" s="156">
        <f>+'TROPA 192 '!K46-0.7</f>
        <v>94.1</v>
      </c>
      <c r="L46" s="153">
        <f t="shared" si="0"/>
        <v>188.3</v>
      </c>
      <c r="M46" s="81">
        <f t="shared" si="1"/>
        <v>0.53800000000000003</v>
      </c>
      <c r="N46" s="55"/>
    </row>
    <row r="47" spans="2:14" x14ac:dyDescent="0.25">
      <c r="B47" s="51"/>
      <c r="C47" s="78">
        <v>23</v>
      </c>
      <c r="D47" s="78">
        <v>21</v>
      </c>
      <c r="E47" s="141" t="s">
        <v>102</v>
      </c>
      <c r="F47" s="147" t="s">
        <v>132</v>
      </c>
      <c r="G47" s="144" t="s">
        <v>63</v>
      </c>
      <c r="H47" s="80" t="s">
        <v>121</v>
      </c>
      <c r="I47" s="150">
        <v>403</v>
      </c>
      <c r="J47" s="160">
        <f>+'TROPA 192 '!J47-0.7</f>
        <v>113.7</v>
      </c>
      <c r="K47" s="156">
        <f>+'TROPA 192 '!K47-0.7</f>
        <v>113.89999999999999</v>
      </c>
      <c r="L47" s="153">
        <f t="shared" si="0"/>
        <v>227.6</v>
      </c>
      <c r="M47" s="81">
        <f t="shared" si="1"/>
        <v>0.5647642679900744</v>
      </c>
      <c r="N47" s="55"/>
    </row>
    <row r="48" spans="2:14" x14ac:dyDescent="0.25">
      <c r="B48" s="51"/>
      <c r="C48" s="79">
        <v>24</v>
      </c>
      <c r="D48" s="78">
        <v>28</v>
      </c>
      <c r="E48" s="142" t="s">
        <v>100</v>
      </c>
      <c r="F48" s="147" t="s">
        <v>132</v>
      </c>
      <c r="G48" s="144" t="s">
        <v>63</v>
      </c>
      <c r="H48" s="80" t="s">
        <v>128</v>
      </c>
      <c r="I48" s="150">
        <v>391</v>
      </c>
      <c r="J48" s="160">
        <f>+'TROPA 192 '!J48-0.7</f>
        <v>113</v>
      </c>
      <c r="K48" s="156">
        <f>+'TROPA 192 '!K48-0.7</f>
        <v>113.6</v>
      </c>
      <c r="L48" s="153">
        <f t="shared" si="0"/>
        <v>226.6</v>
      </c>
      <c r="M48" s="81">
        <f t="shared" si="1"/>
        <v>0.57953964194373397</v>
      </c>
      <c r="N48" s="55"/>
    </row>
    <row r="49" spans="2:16" x14ac:dyDescent="0.25">
      <c r="B49" s="51"/>
      <c r="C49" s="78">
        <v>25</v>
      </c>
      <c r="D49" s="78">
        <v>20</v>
      </c>
      <c r="E49" s="141" t="s">
        <v>102</v>
      </c>
      <c r="F49" s="147" t="s">
        <v>132</v>
      </c>
      <c r="G49" s="144" t="s">
        <v>63</v>
      </c>
      <c r="H49" s="80" t="s">
        <v>120</v>
      </c>
      <c r="I49" s="150">
        <v>368</v>
      </c>
      <c r="J49" s="160">
        <f>+'TROPA 192 '!J49-0.7</f>
        <v>99.399999999999991</v>
      </c>
      <c r="K49" s="156">
        <f>+'TROPA 192 '!K49-0.7</f>
        <v>99.2</v>
      </c>
      <c r="L49" s="153">
        <f t="shared" si="0"/>
        <v>198.6</v>
      </c>
      <c r="M49" s="81">
        <f t="shared" si="1"/>
        <v>0.53967391304347823</v>
      </c>
      <c r="N49" s="55"/>
    </row>
    <row r="50" spans="2:16" x14ac:dyDescent="0.25">
      <c r="B50" s="51"/>
      <c r="C50" s="78">
        <v>26</v>
      </c>
      <c r="D50" s="78">
        <v>16</v>
      </c>
      <c r="E50" s="141" t="s">
        <v>100</v>
      </c>
      <c r="F50" s="147" t="s">
        <v>132</v>
      </c>
      <c r="G50" s="144" t="s">
        <v>63</v>
      </c>
      <c r="H50" s="80" t="s">
        <v>117</v>
      </c>
      <c r="I50" s="150">
        <v>356</v>
      </c>
      <c r="J50" s="160">
        <f>+'TROPA 192 '!J50-0.7</f>
        <v>99</v>
      </c>
      <c r="K50" s="156">
        <f>+'TROPA 192 '!K50-0.7</f>
        <v>98.6</v>
      </c>
      <c r="L50" s="153">
        <f t="shared" si="0"/>
        <v>197.6</v>
      </c>
      <c r="M50" s="81">
        <f t="shared" si="1"/>
        <v>0.55505617977528088</v>
      </c>
      <c r="N50" s="55"/>
    </row>
    <row r="51" spans="2:16" x14ac:dyDescent="0.25">
      <c r="B51" s="51"/>
      <c r="C51" s="78">
        <v>27</v>
      </c>
      <c r="D51" s="78">
        <v>24</v>
      </c>
      <c r="E51" s="141" t="s">
        <v>100</v>
      </c>
      <c r="F51" s="147" t="s">
        <v>132</v>
      </c>
      <c r="G51" s="144" t="s">
        <v>63</v>
      </c>
      <c r="H51" s="80" t="s">
        <v>124</v>
      </c>
      <c r="I51" s="150">
        <v>370</v>
      </c>
      <c r="J51" s="160">
        <f>+'TROPA 192 '!J51-0.7</f>
        <v>103.89999999999999</v>
      </c>
      <c r="K51" s="156">
        <f>+'TROPA 192 '!K51-0.7</f>
        <v>103.39999999999999</v>
      </c>
      <c r="L51" s="153">
        <f t="shared" si="0"/>
        <v>207.29999999999998</v>
      </c>
      <c r="M51" s="81">
        <f t="shared" si="1"/>
        <v>0.56027027027027021</v>
      </c>
      <c r="N51" s="55"/>
    </row>
    <row r="52" spans="2:16" x14ac:dyDescent="0.25">
      <c r="B52" s="51"/>
      <c r="C52" s="79">
        <v>28</v>
      </c>
      <c r="D52" s="78">
        <v>27</v>
      </c>
      <c r="E52" s="142" t="s">
        <v>100</v>
      </c>
      <c r="F52" s="147" t="s">
        <v>132</v>
      </c>
      <c r="G52" s="144" t="s">
        <v>63</v>
      </c>
      <c r="H52" s="80" t="s">
        <v>127</v>
      </c>
      <c r="I52" s="150">
        <v>425</v>
      </c>
      <c r="J52" s="160">
        <f>+'TROPA 192 '!J52-0.7</f>
        <v>121.7</v>
      </c>
      <c r="K52" s="156">
        <f>+'TROPA 192 '!K52-0.7</f>
        <v>123.39999999999999</v>
      </c>
      <c r="L52" s="153">
        <f t="shared" si="0"/>
        <v>245.1</v>
      </c>
      <c r="M52" s="81">
        <f t="shared" si="1"/>
        <v>0.57670588235294118</v>
      </c>
      <c r="N52" s="55"/>
    </row>
    <row r="53" spans="2:16" x14ac:dyDescent="0.25">
      <c r="B53" s="51"/>
      <c r="C53" s="79">
        <v>29</v>
      </c>
      <c r="D53" s="78">
        <v>25</v>
      </c>
      <c r="E53" s="142" t="s">
        <v>101</v>
      </c>
      <c r="F53" s="147" t="s">
        <v>132</v>
      </c>
      <c r="G53" s="144" t="s">
        <v>63</v>
      </c>
      <c r="H53" s="80" t="s">
        <v>125</v>
      </c>
      <c r="I53" s="150">
        <v>392</v>
      </c>
      <c r="J53" s="160">
        <f>+'TROPA 192 '!J53-0.7</f>
        <v>100.6</v>
      </c>
      <c r="K53" s="156">
        <f>+'TROPA 192 '!K53-0.7</f>
        <v>100.2</v>
      </c>
      <c r="L53" s="153">
        <f t="shared" si="0"/>
        <v>200.8</v>
      </c>
      <c r="M53" s="81">
        <f t="shared" si="1"/>
        <v>0.51224489795918371</v>
      </c>
      <c r="N53" s="55"/>
    </row>
    <row r="54" spans="2:16" x14ac:dyDescent="0.25">
      <c r="B54" s="51"/>
      <c r="C54" s="78">
        <v>30</v>
      </c>
      <c r="D54" s="78">
        <v>22</v>
      </c>
      <c r="E54" s="141" t="s">
        <v>102</v>
      </c>
      <c r="F54" s="148" t="s">
        <v>132</v>
      </c>
      <c r="G54" s="144" t="s">
        <v>63</v>
      </c>
      <c r="H54" s="80" t="s">
        <v>122</v>
      </c>
      <c r="I54" s="150">
        <v>483</v>
      </c>
      <c r="J54" s="162">
        <f>+'TROPA 192 '!J54-0.7</f>
        <v>141.5</v>
      </c>
      <c r="K54" s="158">
        <f>+'TROPA 192 '!K54-0.7</f>
        <v>141.10000000000002</v>
      </c>
      <c r="L54" s="153">
        <f t="shared" si="0"/>
        <v>282.60000000000002</v>
      </c>
      <c r="M54" s="81">
        <f t="shared" si="1"/>
        <v>0.58509316770186337</v>
      </c>
      <c r="N54" s="55"/>
    </row>
    <row r="55" spans="2:16" x14ac:dyDescent="0.25">
      <c r="B55" s="51"/>
      <c r="C55" s="128"/>
      <c r="D55" s="128">
        <f>+COUNT($D$24:$D$54)</f>
        <v>30</v>
      </c>
      <c r="E55" s="128"/>
      <c r="F55" s="192"/>
      <c r="G55" s="193"/>
      <c r="H55" s="85"/>
      <c r="I55" s="86">
        <f>SUM($I$24:$I$54)</f>
        <v>11500</v>
      </c>
      <c r="J55" s="84">
        <f>SUM($J$24:$J$54)</f>
        <v>3228.7999999999997</v>
      </c>
      <c r="K55" s="154">
        <f>SUM($K$24:$K$54)</f>
        <v>3225.4999999999995</v>
      </c>
      <c r="L55" s="86">
        <f>SUM($L$24:$L$54)</f>
        <v>6454.3000000000029</v>
      </c>
      <c r="M55" s="87">
        <f t="shared" si="1"/>
        <v>0.56124347826086984</v>
      </c>
      <c r="N55" s="55"/>
      <c r="P55" s="163">
        <f>+'TROPA 192 '!L55</f>
        <v>6496.2999999999993</v>
      </c>
    </row>
    <row r="56" spans="2:16" ht="16.5" thickBot="1" x14ac:dyDescent="0.3">
      <c r="B56" s="60"/>
      <c r="C56" s="61"/>
      <c r="D56" s="61"/>
      <c r="E56" s="61"/>
      <c r="F56" s="61"/>
      <c r="G56" s="61"/>
      <c r="H56" s="62"/>
      <c r="I56" s="61"/>
      <c r="J56" s="62"/>
      <c r="K56" s="61"/>
      <c r="L56" s="61"/>
      <c r="M56" s="61"/>
      <c r="N56" s="63"/>
      <c r="P56" s="45">
        <f>1.4*30</f>
        <v>42</v>
      </c>
    </row>
    <row r="57" spans="2:16" ht="17.25" thickTop="1" thickBot="1" x14ac:dyDescent="0.3">
      <c r="B57" s="48"/>
      <c r="C57" s="48"/>
      <c r="D57" s="48"/>
      <c r="E57" s="48"/>
      <c r="F57" s="48"/>
      <c r="G57" s="48"/>
      <c r="H57" s="49"/>
      <c r="I57" s="48"/>
      <c r="J57" s="49"/>
      <c r="K57" s="48"/>
      <c r="L57" s="48"/>
      <c r="M57" s="48"/>
      <c r="N57" s="48"/>
      <c r="P57" s="163">
        <f>+P55-P56</f>
        <v>6454.2999999999993</v>
      </c>
    </row>
    <row r="58" spans="2:16" ht="16.5" thickTop="1" x14ac:dyDescent="0.25">
      <c r="B58" s="47"/>
      <c r="C58" s="48"/>
      <c r="D58" s="48"/>
      <c r="E58" s="48"/>
      <c r="F58" s="48"/>
      <c r="G58" s="48"/>
      <c r="H58" s="49"/>
      <c r="I58" s="48"/>
      <c r="J58" s="49"/>
      <c r="K58" s="48"/>
      <c r="L58" s="48"/>
      <c r="M58" s="48"/>
      <c r="N58" s="50"/>
    </row>
    <row r="59" spans="2:16" ht="32.25" customHeight="1" x14ac:dyDescent="0.25">
      <c r="B59" s="51"/>
      <c r="D59" s="194" t="s">
        <v>83</v>
      </c>
      <c r="E59" s="195"/>
      <c r="F59" s="195"/>
      <c r="G59" s="195"/>
      <c r="H59" s="106" t="s">
        <v>84</v>
      </c>
      <c r="I59" s="107" t="s">
        <v>59</v>
      </c>
      <c r="J59" s="108" t="s">
        <v>85</v>
      </c>
      <c r="K59" s="109" t="s">
        <v>86</v>
      </c>
      <c r="N59" s="55"/>
    </row>
    <row r="60" spans="2:16" x14ac:dyDescent="0.25">
      <c r="B60" s="51"/>
      <c r="D60" s="196" t="s">
        <v>20</v>
      </c>
      <c r="E60" s="197"/>
      <c r="F60" s="197"/>
      <c r="G60" s="197"/>
      <c r="H60" s="110"/>
      <c r="J60" s="110"/>
      <c r="K60" s="111"/>
      <c r="N60" s="55"/>
    </row>
    <row r="61" spans="2:16" x14ac:dyDescent="0.25">
      <c r="B61" s="51"/>
      <c r="D61" s="196" t="s">
        <v>7</v>
      </c>
      <c r="E61" s="197"/>
      <c r="F61" s="197"/>
      <c r="G61" s="197"/>
      <c r="H61" s="110"/>
      <c r="J61" s="110"/>
      <c r="K61" s="111"/>
      <c r="N61" s="55"/>
    </row>
    <row r="62" spans="2:16" x14ac:dyDescent="0.25">
      <c r="B62" s="51"/>
      <c r="D62" s="196" t="s">
        <v>6</v>
      </c>
      <c r="E62" s="197"/>
      <c r="F62" s="197"/>
      <c r="G62" s="197"/>
      <c r="H62" s="110"/>
      <c r="J62" s="110"/>
      <c r="K62" s="111"/>
      <c r="N62" s="55"/>
    </row>
    <row r="63" spans="2:16" x14ac:dyDescent="0.25">
      <c r="B63" s="51"/>
      <c r="D63" s="196" t="s">
        <v>10</v>
      </c>
      <c r="E63" s="197"/>
      <c r="F63" s="197"/>
      <c r="G63" s="197"/>
      <c r="H63" s="110"/>
      <c r="J63" s="110"/>
      <c r="K63" s="111"/>
      <c r="N63" s="55"/>
    </row>
    <row r="64" spans="2:16" x14ac:dyDescent="0.25">
      <c r="B64" s="51"/>
      <c r="D64" s="196" t="s">
        <v>21</v>
      </c>
      <c r="E64" s="197"/>
      <c r="F64" s="197"/>
      <c r="G64" s="197"/>
      <c r="H64" s="110"/>
      <c r="J64" s="110"/>
      <c r="K64" s="111"/>
      <c r="N64" s="55"/>
    </row>
    <row r="65" spans="2:14" x14ac:dyDescent="0.25">
      <c r="B65" s="51"/>
      <c r="D65" s="196" t="s">
        <v>5</v>
      </c>
      <c r="E65" s="197"/>
      <c r="F65" s="197"/>
      <c r="G65" s="197"/>
      <c r="H65" s="110"/>
      <c r="J65" s="110"/>
      <c r="K65" s="111"/>
      <c r="N65" s="55"/>
    </row>
    <row r="66" spans="2:14" x14ac:dyDescent="0.25">
      <c r="B66" s="51"/>
      <c r="D66" s="196" t="s">
        <v>22</v>
      </c>
      <c r="E66" s="197"/>
      <c r="F66" s="197"/>
      <c r="G66" s="197"/>
      <c r="H66" s="110"/>
      <c r="J66" s="110"/>
      <c r="K66" s="111"/>
      <c r="N66" s="55"/>
    </row>
    <row r="67" spans="2:14" x14ac:dyDescent="0.25">
      <c r="B67" s="51"/>
      <c r="D67" s="196" t="s">
        <v>8</v>
      </c>
      <c r="E67" s="197"/>
      <c r="F67" s="197"/>
      <c r="G67" s="197"/>
      <c r="H67" s="110"/>
      <c r="J67" s="110"/>
      <c r="K67" s="111"/>
      <c r="N67" s="55"/>
    </row>
    <row r="68" spans="2:14" x14ac:dyDescent="0.25">
      <c r="B68" s="51"/>
      <c r="D68" s="196" t="s">
        <v>23</v>
      </c>
      <c r="E68" s="197"/>
      <c r="F68" s="197"/>
      <c r="G68" s="197"/>
      <c r="H68" s="110"/>
      <c r="J68" s="110"/>
      <c r="K68" s="111"/>
      <c r="N68" s="55"/>
    </row>
    <row r="69" spans="2:14" x14ac:dyDescent="0.25">
      <c r="B69" s="51"/>
      <c r="D69" s="196" t="s">
        <v>36</v>
      </c>
      <c r="E69" s="197"/>
      <c r="F69" s="197"/>
      <c r="G69" s="197"/>
      <c r="H69" s="110"/>
      <c r="J69" s="110"/>
      <c r="K69" s="111"/>
      <c r="N69" s="55"/>
    </row>
    <row r="70" spans="2:14" x14ac:dyDescent="0.25">
      <c r="B70" s="51"/>
      <c r="D70" s="196" t="s">
        <v>9</v>
      </c>
      <c r="E70" s="197"/>
      <c r="F70" s="197"/>
      <c r="G70" s="197"/>
      <c r="H70" s="110"/>
      <c r="J70" s="110"/>
      <c r="K70" s="111"/>
      <c r="N70" s="55"/>
    </row>
    <row r="71" spans="2:14" x14ac:dyDescent="0.25">
      <c r="B71" s="51"/>
      <c r="D71" s="196" t="s">
        <v>24</v>
      </c>
      <c r="E71" s="197"/>
      <c r="F71" s="197"/>
      <c r="G71" s="197"/>
      <c r="H71" s="110"/>
      <c r="J71" s="110"/>
      <c r="K71" s="111"/>
      <c r="N71" s="55"/>
    </row>
    <row r="72" spans="2:14" x14ac:dyDescent="0.25">
      <c r="B72" s="51"/>
      <c r="D72" s="196" t="s">
        <v>37</v>
      </c>
      <c r="E72" s="197"/>
      <c r="F72" s="197"/>
      <c r="G72" s="197"/>
      <c r="H72" s="110"/>
      <c r="J72" s="110"/>
      <c r="K72" s="111"/>
      <c r="N72" s="55"/>
    </row>
    <row r="73" spans="2:14" x14ac:dyDescent="0.25">
      <c r="B73" s="51"/>
      <c r="D73" s="201" t="s">
        <v>87</v>
      </c>
      <c r="E73" s="202"/>
      <c r="F73" s="202"/>
      <c r="G73" s="203"/>
      <c r="H73" s="112"/>
      <c r="I73" s="113">
        <f>SUM(I60:I72)</f>
        <v>0</v>
      </c>
      <c r="J73" s="114">
        <f>SUM(J60:J72)</f>
        <v>0</v>
      </c>
      <c r="K73" s="115">
        <f>SUM(K60:K72)</f>
        <v>0</v>
      </c>
      <c r="N73" s="55"/>
    </row>
    <row r="74" spans="2:14" ht="16.5" thickBot="1" x14ac:dyDescent="0.3">
      <c r="B74" s="60"/>
      <c r="C74" s="61"/>
      <c r="D74" s="61"/>
      <c r="E74" s="61"/>
      <c r="F74" s="61"/>
      <c r="G74" s="61"/>
      <c r="H74" s="62"/>
      <c r="I74" s="61"/>
      <c r="J74" s="62"/>
      <c r="K74" s="61"/>
      <c r="L74" s="61"/>
      <c r="M74" s="61"/>
      <c r="N74" s="63"/>
    </row>
    <row r="75" spans="2:14" ht="16.5" thickTop="1" x14ac:dyDescent="0.25">
      <c r="B75" s="51"/>
      <c r="G75" s="116"/>
      <c r="H75" s="117"/>
      <c r="I75" s="116"/>
      <c r="J75" s="117"/>
      <c r="N75" s="55"/>
    </row>
    <row r="76" spans="2:14" ht="15.75" customHeight="1" x14ac:dyDescent="0.25">
      <c r="B76" s="51"/>
      <c r="F76" s="204" t="s">
        <v>88</v>
      </c>
      <c r="G76" s="204"/>
      <c r="H76" s="118" t="s">
        <v>89</v>
      </c>
      <c r="I76" s="106" t="s">
        <v>77</v>
      </c>
      <c r="N76" s="55"/>
    </row>
    <row r="77" spans="2:14" x14ac:dyDescent="0.25">
      <c r="B77" s="51"/>
      <c r="F77" s="205" t="s">
        <v>35</v>
      </c>
      <c r="G77" s="205"/>
      <c r="H77" s="119"/>
      <c r="I77" s="120"/>
      <c r="N77" s="55"/>
    </row>
    <row r="78" spans="2:14" x14ac:dyDescent="0.25">
      <c r="B78" s="51"/>
      <c r="F78" s="198" t="s">
        <v>90</v>
      </c>
      <c r="G78" s="198"/>
      <c r="H78" s="121">
        <f>+D55</f>
        <v>30</v>
      </c>
      <c r="I78" s="122"/>
      <c r="N78" s="55"/>
    </row>
    <row r="79" spans="2:14" x14ac:dyDescent="0.25">
      <c r="B79" s="51"/>
      <c r="F79" s="198" t="s">
        <v>91</v>
      </c>
      <c r="G79" s="198"/>
      <c r="H79" s="123"/>
      <c r="I79" s="122"/>
      <c r="N79" s="55"/>
    </row>
    <row r="80" spans="2:14" x14ac:dyDescent="0.25">
      <c r="B80" s="51"/>
      <c r="F80" s="198" t="s">
        <v>92</v>
      </c>
      <c r="G80" s="198"/>
      <c r="H80" s="123"/>
      <c r="I80" s="122"/>
      <c r="N80" s="55"/>
    </row>
    <row r="81" spans="2:14" x14ac:dyDescent="0.25">
      <c r="B81" s="51"/>
      <c r="F81" s="199" t="s">
        <v>93</v>
      </c>
      <c r="G81" s="199"/>
      <c r="H81" s="124"/>
      <c r="I81" s="125"/>
      <c r="N81" s="55"/>
    </row>
    <row r="82" spans="2:14" x14ac:dyDescent="0.25">
      <c r="B82" s="51"/>
      <c r="F82" s="200" t="s">
        <v>87</v>
      </c>
      <c r="G82" s="200"/>
      <c r="H82" s="126"/>
      <c r="I82" s="112">
        <f>SUM(I77:I81)</f>
        <v>0</v>
      </c>
      <c r="N82" s="55"/>
    </row>
    <row r="83" spans="2:14" ht="16.5" thickBot="1" x14ac:dyDescent="0.3">
      <c r="B83" s="60"/>
      <c r="C83" s="61"/>
      <c r="D83" s="61"/>
      <c r="E83" s="61"/>
      <c r="F83" s="61"/>
      <c r="G83" s="61"/>
      <c r="H83" s="62"/>
      <c r="I83" s="61"/>
      <c r="J83" s="62"/>
      <c r="K83" s="61"/>
      <c r="L83" s="61"/>
      <c r="M83" s="61"/>
      <c r="N83" s="63"/>
    </row>
    <row r="84" spans="2:14" ht="16.5" thickTop="1" x14ac:dyDescent="0.25">
      <c r="I84" s="88"/>
    </row>
  </sheetData>
  <mergeCells count="53">
    <mergeCell ref="F78:G78"/>
    <mergeCell ref="F79:G79"/>
    <mergeCell ref="F80:G80"/>
    <mergeCell ref="F81:G81"/>
    <mergeCell ref="F82:G82"/>
    <mergeCell ref="F77:G77"/>
    <mergeCell ref="D64:G64"/>
    <mergeCell ref="D65:G65"/>
    <mergeCell ref="D66:G66"/>
    <mergeCell ref="D67:G67"/>
    <mergeCell ref="D68:G68"/>
    <mergeCell ref="D69:G69"/>
    <mergeCell ref="D70:G70"/>
    <mergeCell ref="D71:G71"/>
    <mergeCell ref="D72:G72"/>
    <mergeCell ref="D73:G73"/>
    <mergeCell ref="F76:G76"/>
    <mergeCell ref="D63:G63"/>
    <mergeCell ref="H23:H24"/>
    <mergeCell ref="I23:I24"/>
    <mergeCell ref="J23:J24"/>
    <mergeCell ref="K23:K24"/>
    <mergeCell ref="F55:G55"/>
    <mergeCell ref="D59:G59"/>
    <mergeCell ref="D60:G60"/>
    <mergeCell ref="D61:G61"/>
    <mergeCell ref="D62:G62"/>
    <mergeCell ref="L23:L24"/>
    <mergeCell ref="M23:M24"/>
    <mergeCell ref="C20:D20"/>
    <mergeCell ref="E20:F20"/>
    <mergeCell ref="C23:C24"/>
    <mergeCell ref="D23:D24"/>
    <mergeCell ref="E23:E24"/>
    <mergeCell ref="F23:G23"/>
    <mergeCell ref="C17:D17"/>
    <mergeCell ref="E17:F17"/>
    <mergeCell ref="C18:D18"/>
    <mergeCell ref="E18:F18"/>
    <mergeCell ref="C19:D19"/>
    <mergeCell ref="E19:F19"/>
    <mergeCell ref="L10:M10"/>
    <mergeCell ref="E14:F14"/>
    <mergeCell ref="C15:D15"/>
    <mergeCell ref="E15:F15"/>
    <mergeCell ref="C16:D16"/>
    <mergeCell ref="E16:F16"/>
    <mergeCell ref="C8:D8"/>
    <mergeCell ref="E8:H8"/>
    <mergeCell ref="J8:M8"/>
    <mergeCell ref="C9:D9"/>
    <mergeCell ref="E9:H9"/>
    <mergeCell ref="L9:M9"/>
  </mergeCells>
  <conditionalFormatting sqref="M25:M54">
    <cfRule type="cellIs" dxfId="0" priority="1" operator="greaterThan">
      <formula>0.7</formula>
    </cfRule>
  </conditionalFormatting>
  <pageMargins left="0" right="0" top="0" bottom="0" header="0.31496062992125984" footer="0.31496062992125984"/>
  <pageSetup paperSize="9" scale="70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9"/>
  <sheetViews>
    <sheetView topLeftCell="A18" zoomScaleNormal="100" workbookViewId="0">
      <selection activeCell="E5" sqref="E5:F34"/>
    </sheetView>
  </sheetViews>
  <sheetFormatPr baseColWidth="10" defaultRowHeight="15" x14ac:dyDescent="0.25"/>
  <cols>
    <col min="1" max="1" width="2" customWidth="1"/>
    <col min="2" max="2" width="12.140625" style="2" customWidth="1"/>
    <col min="3" max="3" width="11.7109375" customWidth="1"/>
    <col min="4" max="4" width="14.7109375" customWidth="1"/>
    <col min="5" max="6" width="24.7109375" style="11" customWidth="1"/>
    <col min="7" max="7" width="10.85546875" bestFit="1" customWidth="1"/>
    <col min="8" max="8" width="14.42578125" bestFit="1" customWidth="1"/>
    <col min="9" max="9" width="12.85546875" bestFit="1" customWidth="1"/>
  </cols>
  <sheetData>
    <row r="1" spans="2:9" ht="10.5" customHeight="1" thickBot="1" x14ac:dyDescent="0.3"/>
    <row r="2" spans="2:9" ht="33.75" customHeight="1" thickBot="1" x14ac:dyDescent="0.3">
      <c r="B2" s="208"/>
      <c r="C2" s="209"/>
      <c r="D2" s="210"/>
      <c r="E2" s="206" t="s">
        <v>4</v>
      </c>
      <c r="F2" s="207"/>
    </row>
    <row r="3" spans="2:9" ht="18" customHeight="1" thickBot="1" x14ac:dyDescent="0.3">
      <c r="B3" s="211"/>
      <c r="C3" s="212"/>
      <c r="D3" s="213"/>
      <c r="E3" s="37" t="s">
        <v>43</v>
      </c>
      <c r="F3" s="44">
        <v>46160</v>
      </c>
    </row>
    <row r="4" spans="2:9" ht="15.75" thickBot="1" x14ac:dyDescent="0.3">
      <c r="B4" s="3" t="s">
        <v>0</v>
      </c>
      <c r="C4" s="3" t="s">
        <v>1</v>
      </c>
      <c r="D4" s="136" t="s">
        <v>14</v>
      </c>
      <c r="E4" s="5" t="s">
        <v>13</v>
      </c>
      <c r="F4" s="5" t="s">
        <v>12</v>
      </c>
      <c r="G4" s="1"/>
      <c r="H4" s="1"/>
      <c r="I4" s="1"/>
    </row>
    <row r="5" spans="2:9" ht="20.45" customHeight="1" x14ac:dyDescent="0.25">
      <c r="B5" s="89">
        <v>1</v>
      </c>
      <c r="C5" s="12">
        <v>1</v>
      </c>
      <c r="D5" s="137" t="s">
        <v>132</v>
      </c>
      <c r="E5" s="90">
        <v>121.9</v>
      </c>
      <c r="F5" s="90">
        <v>120.7</v>
      </c>
    </row>
    <row r="6" spans="2:9" ht="20.45" customHeight="1" x14ac:dyDescent="0.25">
      <c r="B6" s="7">
        <f>+B5+1</f>
        <v>2</v>
      </c>
      <c r="C6" s="13">
        <v>2</v>
      </c>
      <c r="D6" s="138" t="s">
        <v>132</v>
      </c>
      <c r="E6" s="39">
        <v>125.8</v>
      </c>
      <c r="F6" s="39">
        <v>125</v>
      </c>
    </row>
    <row r="7" spans="2:9" ht="20.45" customHeight="1" x14ac:dyDescent="0.25">
      <c r="B7" s="7">
        <f t="shared" ref="B7:B34" si="0">+B6+1</f>
        <v>3</v>
      </c>
      <c r="C7" s="13">
        <v>3</v>
      </c>
      <c r="D7" s="138" t="s">
        <v>132</v>
      </c>
      <c r="E7" s="39">
        <v>111.2</v>
      </c>
      <c r="F7" s="39">
        <v>110.6</v>
      </c>
    </row>
    <row r="8" spans="2:9" ht="20.45" customHeight="1" x14ac:dyDescent="0.25">
      <c r="B8" s="7">
        <f t="shared" si="0"/>
        <v>4</v>
      </c>
      <c r="C8" s="13">
        <v>4</v>
      </c>
      <c r="D8" s="138" t="s">
        <v>132</v>
      </c>
      <c r="E8" s="39">
        <v>103.8</v>
      </c>
      <c r="F8" s="39">
        <v>104.1</v>
      </c>
    </row>
    <row r="9" spans="2:9" ht="20.45" customHeight="1" x14ac:dyDescent="0.25">
      <c r="B9" s="7">
        <f t="shared" si="0"/>
        <v>5</v>
      </c>
      <c r="C9" s="13">
        <v>5</v>
      </c>
      <c r="D9" s="138" t="s">
        <v>132</v>
      </c>
      <c r="E9" s="39">
        <v>111</v>
      </c>
      <c r="F9" s="39">
        <v>111.1</v>
      </c>
    </row>
    <row r="10" spans="2:9" ht="20.45" customHeight="1" x14ac:dyDescent="0.25">
      <c r="B10" s="7">
        <f t="shared" si="0"/>
        <v>6</v>
      </c>
      <c r="C10" s="13">
        <v>6</v>
      </c>
      <c r="D10" s="138" t="s">
        <v>132</v>
      </c>
      <c r="E10" s="39">
        <v>101.8</v>
      </c>
      <c r="F10" s="39">
        <v>102.3</v>
      </c>
    </row>
    <row r="11" spans="2:9" ht="20.45" customHeight="1" x14ac:dyDescent="0.25">
      <c r="B11" s="7">
        <f t="shared" si="0"/>
        <v>7</v>
      </c>
      <c r="C11" s="13">
        <v>7</v>
      </c>
      <c r="D11" s="138" t="s">
        <v>132</v>
      </c>
      <c r="E11" s="39">
        <v>103.9</v>
      </c>
      <c r="F11" s="39">
        <v>102.4</v>
      </c>
    </row>
    <row r="12" spans="2:9" ht="20.45" customHeight="1" x14ac:dyDescent="0.25">
      <c r="B12" s="7">
        <f t="shared" si="0"/>
        <v>8</v>
      </c>
      <c r="C12" s="13">
        <v>8</v>
      </c>
      <c r="D12" s="138" t="s">
        <v>132</v>
      </c>
      <c r="E12" s="39">
        <v>106.3</v>
      </c>
      <c r="F12" s="39">
        <v>105.6</v>
      </c>
    </row>
    <row r="13" spans="2:9" ht="20.45" customHeight="1" x14ac:dyDescent="0.25">
      <c r="B13" s="7">
        <f t="shared" si="0"/>
        <v>9</v>
      </c>
      <c r="C13" s="13">
        <v>9</v>
      </c>
      <c r="D13" s="138" t="s">
        <v>132</v>
      </c>
      <c r="E13" s="39">
        <v>103.1</v>
      </c>
      <c r="F13" s="39">
        <v>102.5</v>
      </c>
    </row>
    <row r="14" spans="2:9" ht="20.45" customHeight="1" x14ac:dyDescent="0.25">
      <c r="B14" s="7">
        <f t="shared" si="0"/>
        <v>10</v>
      </c>
      <c r="C14" s="13">
        <v>10</v>
      </c>
      <c r="D14" s="138" t="s">
        <v>132</v>
      </c>
      <c r="E14" s="39">
        <v>101.7</v>
      </c>
      <c r="F14" s="39">
        <v>101.2</v>
      </c>
    </row>
    <row r="15" spans="2:9" ht="20.45" customHeight="1" x14ac:dyDescent="0.25">
      <c r="B15" s="7">
        <f t="shared" si="0"/>
        <v>11</v>
      </c>
      <c r="C15" s="13">
        <v>11</v>
      </c>
      <c r="D15" s="138" t="s">
        <v>132</v>
      </c>
      <c r="E15" s="40">
        <v>108.7</v>
      </c>
      <c r="F15" s="40">
        <v>109.6</v>
      </c>
    </row>
    <row r="16" spans="2:9" ht="20.45" customHeight="1" x14ac:dyDescent="0.25">
      <c r="B16" s="7">
        <f t="shared" si="0"/>
        <v>12</v>
      </c>
      <c r="C16" s="13">
        <v>12</v>
      </c>
      <c r="D16" s="138" t="s">
        <v>132</v>
      </c>
      <c r="E16" s="40">
        <v>97.9</v>
      </c>
      <c r="F16" s="40">
        <v>98.8</v>
      </c>
    </row>
    <row r="17" spans="2:6" ht="20.45" customHeight="1" x14ac:dyDescent="0.25">
      <c r="B17" s="7">
        <f t="shared" si="0"/>
        <v>13</v>
      </c>
      <c r="C17" s="13">
        <v>13</v>
      </c>
      <c r="D17" s="138" t="s">
        <v>132</v>
      </c>
      <c r="E17" s="39">
        <v>103.6</v>
      </c>
      <c r="F17" s="39">
        <v>103.4</v>
      </c>
    </row>
    <row r="18" spans="2:6" ht="20.45" customHeight="1" x14ac:dyDescent="0.25">
      <c r="B18" s="7">
        <f t="shared" si="0"/>
        <v>14</v>
      </c>
      <c r="C18" s="13">
        <v>14</v>
      </c>
      <c r="D18" s="138" t="s">
        <v>132</v>
      </c>
      <c r="E18" s="39">
        <v>104.5</v>
      </c>
      <c r="F18" s="39">
        <v>104.2</v>
      </c>
    </row>
    <row r="19" spans="2:6" ht="20.45" customHeight="1" x14ac:dyDescent="0.25">
      <c r="B19" s="7">
        <f t="shared" si="0"/>
        <v>15</v>
      </c>
      <c r="C19" s="13">
        <v>15</v>
      </c>
      <c r="D19" s="138" t="s">
        <v>132</v>
      </c>
      <c r="E19" s="39">
        <v>100.2</v>
      </c>
      <c r="F19" s="39">
        <v>99.2</v>
      </c>
    </row>
    <row r="20" spans="2:6" ht="20.45" customHeight="1" x14ac:dyDescent="0.25">
      <c r="B20" s="7">
        <f t="shared" si="0"/>
        <v>16</v>
      </c>
      <c r="C20" s="13">
        <v>16</v>
      </c>
      <c r="D20" s="138" t="s">
        <v>132</v>
      </c>
      <c r="E20" s="39">
        <v>97.4</v>
      </c>
      <c r="F20" s="39">
        <v>99.2</v>
      </c>
    </row>
    <row r="21" spans="2:6" ht="20.45" customHeight="1" x14ac:dyDescent="0.25">
      <c r="B21" s="7">
        <f t="shared" si="0"/>
        <v>17</v>
      </c>
      <c r="C21" s="13">
        <v>17</v>
      </c>
      <c r="D21" s="138" t="s">
        <v>132</v>
      </c>
      <c r="E21" s="39">
        <v>106.2</v>
      </c>
      <c r="F21" s="39">
        <v>106.3</v>
      </c>
    </row>
    <row r="22" spans="2:6" ht="20.45" customHeight="1" x14ac:dyDescent="0.25">
      <c r="B22" s="7">
        <f t="shared" si="0"/>
        <v>18</v>
      </c>
      <c r="C22" s="13">
        <v>18</v>
      </c>
      <c r="D22" s="138" t="s">
        <v>132</v>
      </c>
      <c r="E22" s="39">
        <v>104</v>
      </c>
      <c r="F22" s="39">
        <v>102.2</v>
      </c>
    </row>
    <row r="23" spans="2:6" ht="20.45" customHeight="1" x14ac:dyDescent="0.25">
      <c r="B23" s="7">
        <f t="shared" si="0"/>
        <v>19</v>
      </c>
      <c r="C23" s="13">
        <v>19</v>
      </c>
      <c r="D23" s="138" t="s">
        <v>132</v>
      </c>
      <c r="E23" s="39">
        <v>105.1</v>
      </c>
      <c r="F23" s="39">
        <v>105.5</v>
      </c>
    </row>
    <row r="24" spans="2:6" ht="20.45" customHeight="1" x14ac:dyDescent="0.25">
      <c r="B24" s="7">
        <f t="shared" si="0"/>
        <v>20</v>
      </c>
      <c r="C24" s="13">
        <v>20</v>
      </c>
      <c r="D24" s="138" t="s">
        <v>132</v>
      </c>
      <c r="E24" s="39">
        <v>132.5</v>
      </c>
      <c r="F24" s="39">
        <v>132.69999999999999</v>
      </c>
    </row>
    <row r="25" spans="2:6" ht="20.45" customHeight="1" x14ac:dyDescent="0.25">
      <c r="B25" s="7">
        <f t="shared" si="0"/>
        <v>21</v>
      </c>
      <c r="C25" s="13">
        <v>21</v>
      </c>
      <c r="D25" s="138" t="s">
        <v>132</v>
      </c>
      <c r="E25" s="39">
        <v>105.9</v>
      </c>
      <c r="F25" s="39">
        <v>106.1</v>
      </c>
    </row>
    <row r="26" spans="2:6" ht="20.45" customHeight="1" x14ac:dyDescent="0.25">
      <c r="B26" s="7">
        <f t="shared" si="0"/>
        <v>22</v>
      </c>
      <c r="C26" s="13">
        <v>22</v>
      </c>
      <c r="D26" s="138" t="s">
        <v>132</v>
      </c>
      <c r="E26" s="39">
        <v>94.9</v>
      </c>
      <c r="F26" s="39">
        <v>94.8</v>
      </c>
    </row>
    <row r="27" spans="2:6" ht="20.45" customHeight="1" x14ac:dyDescent="0.25">
      <c r="B27" s="7">
        <f t="shared" si="0"/>
        <v>23</v>
      </c>
      <c r="C27" s="13">
        <v>23</v>
      </c>
      <c r="D27" s="138" t="s">
        <v>132</v>
      </c>
      <c r="E27" s="39">
        <v>114.4</v>
      </c>
      <c r="F27" s="39">
        <v>114.6</v>
      </c>
    </row>
    <row r="28" spans="2:6" ht="20.45" customHeight="1" x14ac:dyDescent="0.25">
      <c r="B28" s="7">
        <f t="shared" si="0"/>
        <v>24</v>
      </c>
      <c r="C28" s="13">
        <v>24</v>
      </c>
      <c r="D28" s="138" t="s">
        <v>132</v>
      </c>
      <c r="E28" s="39">
        <v>113.7</v>
      </c>
      <c r="F28" s="39">
        <v>114.3</v>
      </c>
    </row>
    <row r="29" spans="2:6" ht="20.45" customHeight="1" x14ac:dyDescent="0.25">
      <c r="B29" s="7">
        <f t="shared" si="0"/>
        <v>25</v>
      </c>
      <c r="C29" s="13">
        <v>25</v>
      </c>
      <c r="D29" s="138" t="s">
        <v>132</v>
      </c>
      <c r="E29" s="39">
        <v>100.1</v>
      </c>
      <c r="F29" s="39">
        <v>99.9</v>
      </c>
    </row>
    <row r="30" spans="2:6" ht="20.45" customHeight="1" x14ac:dyDescent="0.25">
      <c r="B30" s="7">
        <f t="shared" si="0"/>
        <v>26</v>
      </c>
      <c r="C30" s="13">
        <v>26</v>
      </c>
      <c r="D30" s="138" t="s">
        <v>132</v>
      </c>
      <c r="E30" s="39">
        <v>99.7</v>
      </c>
      <c r="F30" s="39">
        <v>99.3</v>
      </c>
    </row>
    <row r="31" spans="2:6" ht="20.45" customHeight="1" x14ac:dyDescent="0.25">
      <c r="B31" s="7">
        <f t="shared" si="0"/>
        <v>27</v>
      </c>
      <c r="C31" s="13">
        <v>27</v>
      </c>
      <c r="D31" s="138" t="s">
        <v>132</v>
      </c>
      <c r="E31" s="39">
        <v>104.6</v>
      </c>
      <c r="F31" s="39">
        <v>104.1</v>
      </c>
    </row>
    <row r="32" spans="2:6" ht="20.45" customHeight="1" x14ac:dyDescent="0.25">
      <c r="B32" s="7">
        <f t="shared" si="0"/>
        <v>28</v>
      </c>
      <c r="C32" s="13">
        <v>28</v>
      </c>
      <c r="D32" s="138" t="s">
        <v>132</v>
      </c>
      <c r="E32" s="39">
        <v>122.4</v>
      </c>
      <c r="F32" s="39">
        <v>124.1</v>
      </c>
    </row>
    <row r="33" spans="2:6" ht="20.45" customHeight="1" x14ac:dyDescent="0.25">
      <c r="B33" s="7">
        <f t="shared" si="0"/>
        <v>29</v>
      </c>
      <c r="C33" s="13">
        <v>29</v>
      </c>
      <c r="D33" s="138" t="s">
        <v>132</v>
      </c>
      <c r="E33" s="39">
        <v>101.3</v>
      </c>
      <c r="F33" s="39">
        <v>100.9</v>
      </c>
    </row>
    <row r="34" spans="2:6" ht="20.45" customHeight="1" thickBot="1" x14ac:dyDescent="0.3">
      <c r="B34" s="8">
        <f t="shared" si="0"/>
        <v>30</v>
      </c>
      <c r="C34" s="135">
        <v>30</v>
      </c>
      <c r="D34" s="139" t="s">
        <v>132</v>
      </c>
      <c r="E34" s="41">
        <v>142.19999999999999</v>
      </c>
      <c r="F34" s="41">
        <v>141.80000000000001</v>
      </c>
    </row>
    <row r="35" spans="2:6" ht="20.45" customHeight="1" x14ac:dyDescent="0.25"/>
    <row r="36" spans="2:6" x14ac:dyDescent="0.25">
      <c r="B36" s="20" t="s">
        <v>46</v>
      </c>
      <c r="C36" s="22" t="s">
        <v>34</v>
      </c>
      <c r="D36" s="21" t="s">
        <v>47</v>
      </c>
      <c r="E36" s="22" t="s">
        <v>34</v>
      </c>
      <c r="F36" s="21" t="s">
        <v>47</v>
      </c>
    </row>
    <row r="37" spans="2:6" x14ac:dyDescent="0.25">
      <c r="B37" s="20">
        <v>192</v>
      </c>
      <c r="C37" s="22">
        <v>30</v>
      </c>
      <c r="D37" s="22" t="s">
        <v>98</v>
      </c>
      <c r="E37" s="21"/>
      <c r="F37" s="21"/>
    </row>
    <row r="38" spans="2:6" x14ac:dyDescent="0.25">
      <c r="B38" s="20"/>
      <c r="C38" s="22"/>
      <c r="D38" s="22"/>
      <c r="E38" s="21"/>
      <c r="F38" s="21"/>
    </row>
    <row r="39" spans="2:6" x14ac:dyDescent="0.25">
      <c r="B39" s="20"/>
      <c r="C39" s="22"/>
      <c r="D39" s="22"/>
      <c r="E39" s="21"/>
      <c r="F39" s="21"/>
    </row>
  </sheetData>
  <mergeCells count="2">
    <mergeCell ref="E2:F2"/>
    <mergeCell ref="B2:D3"/>
  </mergeCells>
  <pageMargins left="0.70866141732283472" right="0.70866141732283472" top="0.74803149606299213" bottom="0.74803149606299213" header="0.31496062992125984" footer="0.31496062992125984"/>
  <pageSetup paperSize="9" scale="9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5"/>
  <sheetViews>
    <sheetView view="pageBreakPreview" zoomScale="60" zoomScaleNormal="100" workbookViewId="0">
      <selection activeCell="D5" sqref="D5:D34"/>
    </sheetView>
  </sheetViews>
  <sheetFormatPr baseColWidth="10" defaultRowHeight="15" x14ac:dyDescent="0.25"/>
  <cols>
    <col min="1" max="1" width="2" customWidth="1"/>
    <col min="2" max="2" width="12.140625" style="2" customWidth="1"/>
    <col min="3" max="3" width="11.7109375" customWidth="1"/>
    <col min="4" max="4" width="14.7109375" customWidth="1"/>
    <col min="5" max="5" width="47" style="11" customWidth="1"/>
    <col min="6" max="6" width="10.85546875" bestFit="1" customWidth="1"/>
    <col min="7" max="7" width="14.42578125" bestFit="1" customWidth="1"/>
    <col min="8" max="8" width="12.85546875" bestFit="1" customWidth="1"/>
  </cols>
  <sheetData>
    <row r="1" spans="2:8" ht="10.5" customHeight="1" thickBot="1" x14ac:dyDescent="0.3"/>
    <row r="2" spans="2:8" ht="33.75" customHeight="1" thickBot="1" x14ac:dyDescent="0.3">
      <c r="B2" s="208"/>
      <c r="C2" s="209"/>
      <c r="D2" s="210"/>
      <c r="E2" s="42" t="s">
        <v>4</v>
      </c>
    </row>
    <row r="3" spans="2:8" ht="18" customHeight="1" thickBot="1" x14ac:dyDescent="0.3">
      <c r="B3" s="211"/>
      <c r="C3" s="212"/>
      <c r="D3" s="213"/>
      <c r="E3" s="43" t="s">
        <v>99</v>
      </c>
    </row>
    <row r="4" spans="2:8" ht="15.75" thickBot="1" x14ac:dyDescent="0.3">
      <c r="B4" s="3" t="s">
        <v>41</v>
      </c>
      <c r="C4" s="3" t="s">
        <v>1</v>
      </c>
      <c r="D4" s="4" t="s">
        <v>14</v>
      </c>
      <c r="E4" s="5" t="s">
        <v>42</v>
      </c>
      <c r="F4" s="1"/>
      <c r="G4" s="1"/>
      <c r="H4" s="1"/>
    </row>
    <row r="5" spans="2:8" ht="20.45" customHeight="1" x14ac:dyDescent="0.25">
      <c r="B5" s="6">
        <v>1</v>
      </c>
      <c r="C5" s="13">
        <v>192</v>
      </c>
      <c r="D5" s="137" t="s">
        <v>132</v>
      </c>
      <c r="E5" s="38"/>
    </row>
    <row r="6" spans="2:8" ht="20.45" customHeight="1" x14ac:dyDescent="0.25">
      <c r="B6" s="7">
        <f>+B5+1</f>
        <v>2</v>
      </c>
      <c r="C6" s="13">
        <v>192</v>
      </c>
      <c r="D6" s="138" t="s">
        <v>132</v>
      </c>
      <c r="E6" s="39"/>
    </row>
    <row r="7" spans="2:8" ht="20.45" customHeight="1" x14ac:dyDescent="0.25">
      <c r="B7" s="7">
        <f t="shared" ref="B7:B33" si="0">+B6+1</f>
        <v>3</v>
      </c>
      <c r="C7" s="13">
        <v>192</v>
      </c>
      <c r="D7" s="138" t="s">
        <v>132</v>
      </c>
      <c r="E7" s="39"/>
    </row>
    <row r="8" spans="2:8" ht="20.45" customHeight="1" x14ac:dyDescent="0.25">
      <c r="B8" s="7">
        <f t="shared" si="0"/>
        <v>4</v>
      </c>
      <c r="C8" s="13">
        <v>192</v>
      </c>
      <c r="D8" s="138" t="s">
        <v>132</v>
      </c>
      <c r="E8" s="39"/>
    </row>
    <row r="9" spans="2:8" ht="20.45" customHeight="1" x14ac:dyDescent="0.25">
      <c r="B9" s="7">
        <f t="shared" si="0"/>
        <v>5</v>
      </c>
      <c r="C9" s="13">
        <v>192</v>
      </c>
      <c r="D9" s="138" t="s">
        <v>132</v>
      </c>
      <c r="E9" s="39"/>
    </row>
    <row r="10" spans="2:8" ht="20.45" customHeight="1" x14ac:dyDescent="0.25">
      <c r="B10" s="7">
        <f t="shared" si="0"/>
        <v>6</v>
      </c>
      <c r="C10" s="13">
        <v>192</v>
      </c>
      <c r="D10" s="138" t="s">
        <v>132</v>
      </c>
      <c r="E10" s="39"/>
    </row>
    <row r="11" spans="2:8" ht="20.45" customHeight="1" x14ac:dyDescent="0.25">
      <c r="B11" s="7">
        <f t="shared" si="0"/>
        <v>7</v>
      </c>
      <c r="C11" s="13">
        <v>192</v>
      </c>
      <c r="D11" s="138" t="s">
        <v>132</v>
      </c>
      <c r="E11" s="39"/>
    </row>
    <row r="12" spans="2:8" ht="20.45" customHeight="1" x14ac:dyDescent="0.25">
      <c r="B12" s="7">
        <f t="shared" si="0"/>
        <v>8</v>
      </c>
      <c r="C12" s="13">
        <v>192</v>
      </c>
      <c r="D12" s="138" t="s">
        <v>132</v>
      </c>
      <c r="E12" s="39"/>
    </row>
    <row r="13" spans="2:8" ht="20.45" customHeight="1" x14ac:dyDescent="0.25">
      <c r="B13" s="7">
        <f t="shared" si="0"/>
        <v>9</v>
      </c>
      <c r="C13" s="13">
        <v>192</v>
      </c>
      <c r="D13" s="138" t="s">
        <v>132</v>
      </c>
      <c r="E13" s="39"/>
    </row>
    <row r="14" spans="2:8" ht="20.45" customHeight="1" x14ac:dyDescent="0.25">
      <c r="B14" s="7">
        <f t="shared" si="0"/>
        <v>10</v>
      </c>
      <c r="C14" s="13">
        <v>192</v>
      </c>
      <c r="D14" s="138" t="s">
        <v>132</v>
      </c>
      <c r="E14" s="39"/>
    </row>
    <row r="15" spans="2:8" ht="20.45" customHeight="1" x14ac:dyDescent="0.25">
      <c r="B15" s="7">
        <f t="shared" si="0"/>
        <v>11</v>
      </c>
      <c r="C15" s="13">
        <v>192</v>
      </c>
      <c r="D15" s="138" t="s">
        <v>132</v>
      </c>
      <c r="E15" s="40"/>
    </row>
    <row r="16" spans="2:8" ht="20.45" customHeight="1" x14ac:dyDescent="0.25">
      <c r="B16" s="7">
        <f t="shared" si="0"/>
        <v>12</v>
      </c>
      <c r="C16" s="13">
        <v>192</v>
      </c>
      <c r="D16" s="138" t="s">
        <v>132</v>
      </c>
      <c r="E16" s="40"/>
    </row>
    <row r="17" spans="2:5" ht="20.45" customHeight="1" x14ac:dyDescent="0.25">
      <c r="B17" s="7">
        <f t="shared" si="0"/>
        <v>13</v>
      </c>
      <c r="C17" s="13">
        <v>192</v>
      </c>
      <c r="D17" s="138" t="s">
        <v>132</v>
      </c>
      <c r="E17" s="39"/>
    </row>
    <row r="18" spans="2:5" ht="20.45" customHeight="1" x14ac:dyDescent="0.25">
      <c r="B18" s="7">
        <f t="shared" si="0"/>
        <v>14</v>
      </c>
      <c r="C18" s="13">
        <v>192</v>
      </c>
      <c r="D18" s="138" t="s">
        <v>132</v>
      </c>
      <c r="E18" s="39"/>
    </row>
    <row r="19" spans="2:5" ht="20.45" customHeight="1" x14ac:dyDescent="0.25">
      <c r="B19" s="7">
        <f t="shared" si="0"/>
        <v>15</v>
      </c>
      <c r="C19" s="13">
        <v>192</v>
      </c>
      <c r="D19" s="138" t="s">
        <v>132</v>
      </c>
      <c r="E19" s="39"/>
    </row>
    <row r="20" spans="2:5" ht="20.45" customHeight="1" x14ac:dyDescent="0.25">
      <c r="B20" s="7">
        <f t="shared" si="0"/>
        <v>16</v>
      </c>
      <c r="C20" s="13">
        <v>192</v>
      </c>
      <c r="D20" s="138" t="s">
        <v>132</v>
      </c>
      <c r="E20" s="39"/>
    </row>
    <row r="21" spans="2:5" ht="20.45" customHeight="1" x14ac:dyDescent="0.25">
      <c r="B21" s="7">
        <f t="shared" si="0"/>
        <v>17</v>
      </c>
      <c r="C21" s="13">
        <v>192</v>
      </c>
      <c r="D21" s="138" t="s">
        <v>132</v>
      </c>
      <c r="E21" s="39"/>
    </row>
    <row r="22" spans="2:5" ht="20.45" customHeight="1" x14ac:dyDescent="0.25">
      <c r="B22" s="7">
        <f t="shared" si="0"/>
        <v>18</v>
      </c>
      <c r="C22" s="13">
        <v>192</v>
      </c>
      <c r="D22" s="138" t="s">
        <v>132</v>
      </c>
      <c r="E22" s="39"/>
    </row>
    <row r="23" spans="2:5" ht="20.45" customHeight="1" x14ac:dyDescent="0.25">
      <c r="B23" s="7">
        <f t="shared" si="0"/>
        <v>19</v>
      </c>
      <c r="C23" s="13">
        <v>192</v>
      </c>
      <c r="D23" s="138" t="s">
        <v>132</v>
      </c>
      <c r="E23" s="39"/>
    </row>
    <row r="24" spans="2:5" ht="20.45" customHeight="1" x14ac:dyDescent="0.25">
      <c r="B24" s="7">
        <f t="shared" si="0"/>
        <v>20</v>
      </c>
      <c r="C24" s="13">
        <v>192</v>
      </c>
      <c r="D24" s="138" t="s">
        <v>132</v>
      </c>
      <c r="E24" s="39"/>
    </row>
    <row r="25" spans="2:5" ht="20.45" customHeight="1" x14ac:dyDescent="0.25">
      <c r="B25" s="7">
        <f t="shared" si="0"/>
        <v>21</v>
      </c>
      <c r="C25" s="13">
        <v>192</v>
      </c>
      <c r="D25" s="138" t="s">
        <v>132</v>
      </c>
      <c r="E25" s="39"/>
    </row>
    <row r="26" spans="2:5" ht="20.45" customHeight="1" x14ac:dyDescent="0.25">
      <c r="B26" s="7">
        <f t="shared" si="0"/>
        <v>22</v>
      </c>
      <c r="C26" s="13">
        <v>192</v>
      </c>
      <c r="D26" s="138" t="s">
        <v>132</v>
      </c>
      <c r="E26" s="39"/>
    </row>
    <row r="27" spans="2:5" ht="20.45" customHeight="1" x14ac:dyDescent="0.25">
      <c r="B27" s="7">
        <f t="shared" si="0"/>
        <v>23</v>
      </c>
      <c r="C27" s="13">
        <v>192</v>
      </c>
      <c r="D27" s="138" t="s">
        <v>132</v>
      </c>
      <c r="E27" s="39"/>
    </row>
    <row r="28" spans="2:5" ht="20.45" customHeight="1" x14ac:dyDescent="0.25">
      <c r="B28" s="7">
        <f t="shared" si="0"/>
        <v>24</v>
      </c>
      <c r="C28" s="13">
        <v>192</v>
      </c>
      <c r="D28" s="138" t="s">
        <v>132</v>
      </c>
      <c r="E28" s="39"/>
    </row>
    <row r="29" spans="2:5" ht="20.45" customHeight="1" x14ac:dyDescent="0.25">
      <c r="B29" s="7">
        <f t="shared" si="0"/>
        <v>25</v>
      </c>
      <c r="C29" s="13">
        <v>192</v>
      </c>
      <c r="D29" s="138" t="s">
        <v>132</v>
      </c>
      <c r="E29" s="39"/>
    </row>
    <row r="30" spans="2:5" ht="20.45" customHeight="1" x14ac:dyDescent="0.25">
      <c r="B30" s="7">
        <f t="shared" si="0"/>
        <v>26</v>
      </c>
      <c r="C30" s="13">
        <v>192</v>
      </c>
      <c r="D30" s="138" t="s">
        <v>132</v>
      </c>
      <c r="E30" s="39"/>
    </row>
    <row r="31" spans="2:5" ht="20.45" customHeight="1" x14ac:dyDescent="0.25">
      <c r="B31" s="7">
        <f t="shared" si="0"/>
        <v>27</v>
      </c>
      <c r="C31" s="13">
        <v>192</v>
      </c>
      <c r="D31" s="138" t="s">
        <v>132</v>
      </c>
      <c r="E31" s="39"/>
    </row>
    <row r="32" spans="2:5" ht="20.45" customHeight="1" x14ac:dyDescent="0.25">
      <c r="B32" s="7">
        <f t="shared" si="0"/>
        <v>28</v>
      </c>
      <c r="C32" s="13">
        <v>192</v>
      </c>
      <c r="D32" s="138" t="s">
        <v>132</v>
      </c>
      <c r="E32" s="39"/>
    </row>
    <row r="33" spans="2:5" ht="20.45" customHeight="1" x14ac:dyDescent="0.25">
      <c r="B33" s="7">
        <f t="shared" si="0"/>
        <v>29</v>
      </c>
      <c r="C33" s="13">
        <v>192</v>
      </c>
      <c r="D33" s="138" t="s">
        <v>132</v>
      </c>
      <c r="E33" s="39"/>
    </row>
    <row r="34" spans="2:5" ht="20.45" customHeight="1" thickBot="1" x14ac:dyDescent="0.3">
      <c r="B34" s="8">
        <f>+B33+1</f>
        <v>30</v>
      </c>
      <c r="C34" s="13">
        <v>192</v>
      </c>
      <c r="D34" s="139" t="s">
        <v>132</v>
      </c>
      <c r="E34" s="41"/>
    </row>
    <row r="35" spans="2:5" ht="20.45" customHeight="1" x14ac:dyDescent="0.25"/>
  </sheetData>
  <mergeCells count="1">
    <mergeCell ref="B2:D3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30"/>
  <sheetViews>
    <sheetView tabSelected="1" view="pageBreakPreview" zoomScale="60" zoomScaleNormal="100" workbookViewId="0">
      <selection activeCell="G22" sqref="G22"/>
    </sheetView>
  </sheetViews>
  <sheetFormatPr baseColWidth="10" defaultRowHeight="15" x14ac:dyDescent="0.25"/>
  <cols>
    <col min="2" max="2" width="18.28515625" bestFit="1" customWidth="1"/>
    <col min="3" max="3" width="28.7109375" bestFit="1" customWidth="1"/>
    <col min="4" max="4" width="35.140625" bestFit="1" customWidth="1"/>
    <col min="5" max="5" width="69.42578125" customWidth="1"/>
    <col min="6" max="6" width="14.42578125" style="19" bestFit="1" customWidth="1"/>
    <col min="7" max="8" width="14.42578125" bestFit="1" customWidth="1"/>
  </cols>
  <sheetData>
    <row r="1" spans="2:6" x14ac:dyDescent="0.25">
      <c r="C1" s="23" t="s">
        <v>44</v>
      </c>
      <c r="D1" s="24">
        <v>46160</v>
      </c>
    </row>
    <row r="2" spans="2:6" x14ac:dyDescent="0.25">
      <c r="C2" s="25" t="s">
        <v>45</v>
      </c>
      <c r="D2" s="22">
        <v>192</v>
      </c>
    </row>
    <row r="3" spans="2:6" x14ac:dyDescent="0.25">
      <c r="C3" s="26" t="s">
        <v>48</v>
      </c>
      <c r="D3" s="27"/>
    </row>
    <row r="4" spans="2:6" ht="15.75" x14ac:dyDescent="0.25">
      <c r="B4" s="28" t="s">
        <v>16</v>
      </c>
      <c r="C4" s="28" t="s">
        <v>15</v>
      </c>
      <c r="D4" s="28" t="s">
        <v>17</v>
      </c>
      <c r="E4" s="29" t="s">
        <v>18</v>
      </c>
      <c r="F4" s="30" t="s">
        <v>19</v>
      </c>
    </row>
    <row r="5" spans="2:6" ht="26.1" customHeight="1" x14ac:dyDescent="0.25">
      <c r="B5" s="217" t="s">
        <v>94</v>
      </c>
      <c r="C5" s="31" t="s">
        <v>20</v>
      </c>
      <c r="D5" s="20">
        <f>22.6+24.44</f>
        <v>47.040000000000006</v>
      </c>
      <c r="E5" s="32">
        <f>15.54+16.36+13.58</f>
        <v>45.48</v>
      </c>
      <c r="F5" s="33">
        <v>3</v>
      </c>
    </row>
    <row r="6" spans="2:6" ht="26.1" customHeight="1" x14ac:dyDescent="0.25">
      <c r="B6" s="218"/>
      <c r="C6" s="31" t="s">
        <v>7</v>
      </c>
      <c r="D6" s="20">
        <v>30</v>
      </c>
      <c r="E6" s="32">
        <f>23.4+25.02</f>
        <v>48.42</v>
      </c>
      <c r="F6" s="33">
        <v>2</v>
      </c>
    </row>
    <row r="7" spans="2:6" ht="26.1" customHeight="1" x14ac:dyDescent="0.25">
      <c r="B7" s="218"/>
      <c r="C7" s="31" t="s">
        <v>6</v>
      </c>
      <c r="D7" s="20" t="s">
        <v>133</v>
      </c>
      <c r="E7" s="32">
        <f>22.86+23.32+22.9+22.62+24.74</f>
        <v>116.44</v>
      </c>
      <c r="F7" s="33">
        <v>5</v>
      </c>
    </row>
    <row r="8" spans="2:6" ht="26.1" customHeight="1" x14ac:dyDescent="0.25">
      <c r="B8" s="218"/>
      <c r="C8" s="31" t="s">
        <v>10</v>
      </c>
      <c r="D8" s="20">
        <f>17+13</f>
        <v>30</v>
      </c>
      <c r="E8" s="32">
        <f>16.6+16.66</f>
        <v>33.260000000000005</v>
      </c>
      <c r="F8" s="33">
        <v>2</v>
      </c>
    </row>
    <row r="9" spans="2:6" ht="26.1" customHeight="1" x14ac:dyDescent="0.25">
      <c r="B9" s="218"/>
      <c r="C9" s="31" t="s">
        <v>21</v>
      </c>
      <c r="D9" s="20">
        <v>22</v>
      </c>
      <c r="E9" s="32">
        <v>20.84</v>
      </c>
      <c r="F9" s="33">
        <v>1</v>
      </c>
    </row>
    <row r="10" spans="2:6" ht="26.1" customHeight="1" x14ac:dyDescent="0.25">
      <c r="B10" s="218"/>
      <c r="C10" s="31" t="s">
        <v>5</v>
      </c>
      <c r="D10" s="20">
        <v>60</v>
      </c>
      <c r="E10" s="32">
        <f>13.08+12.98</f>
        <v>26.060000000000002</v>
      </c>
      <c r="F10" s="33">
        <v>2</v>
      </c>
    </row>
    <row r="11" spans="2:6" ht="26.1" customHeight="1" x14ac:dyDescent="0.25">
      <c r="B11" s="218"/>
      <c r="C11" s="31" t="s">
        <v>22</v>
      </c>
      <c r="D11" s="20">
        <v>120</v>
      </c>
      <c r="E11" s="32">
        <v>20.7</v>
      </c>
      <c r="F11" s="33">
        <v>1</v>
      </c>
    </row>
    <row r="12" spans="2:6" ht="26.1" customHeight="1" x14ac:dyDescent="0.25">
      <c r="B12" s="218"/>
      <c r="C12" s="31" t="s">
        <v>8</v>
      </c>
      <c r="D12" s="20">
        <v>30</v>
      </c>
      <c r="E12" s="32">
        <f>14.92+14.16</f>
        <v>29.08</v>
      </c>
      <c r="F12" s="33">
        <v>2</v>
      </c>
    </row>
    <row r="13" spans="2:6" ht="26.1" customHeight="1" x14ac:dyDescent="0.25">
      <c r="B13" s="218"/>
      <c r="C13" s="31" t="s">
        <v>23</v>
      </c>
      <c r="D13" s="20">
        <v>30</v>
      </c>
      <c r="E13" s="32">
        <f>11.98+11.58</f>
        <v>23.560000000000002</v>
      </c>
      <c r="F13" s="33">
        <v>2</v>
      </c>
    </row>
    <row r="14" spans="2:6" ht="26.1" customHeight="1" x14ac:dyDescent="0.25">
      <c r="B14" s="218"/>
      <c r="C14" s="31" t="s">
        <v>36</v>
      </c>
      <c r="D14" s="20">
        <f>25.2+15.26</f>
        <v>40.46</v>
      </c>
      <c r="E14" s="32">
        <f>14.3+23.82</f>
        <v>38.120000000000005</v>
      </c>
      <c r="F14" s="33">
        <v>2</v>
      </c>
    </row>
    <row r="15" spans="2:6" ht="26.1" customHeight="1" x14ac:dyDescent="0.25">
      <c r="B15" s="218"/>
      <c r="C15" s="31" t="s">
        <v>9</v>
      </c>
      <c r="D15" s="20">
        <v>30</v>
      </c>
      <c r="E15" s="32">
        <f>13.78+13.44</f>
        <v>27.22</v>
      </c>
      <c r="F15" s="33">
        <v>2</v>
      </c>
    </row>
    <row r="16" spans="2:6" ht="26.1" customHeight="1" x14ac:dyDescent="0.25">
      <c r="B16" s="218"/>
      <c r="C16" s="31" t="s">
        <v>24</v>
      </c>
      <c r="D16" s="20">
        <v>30</v>
      </c>
      <c r="E16" s="32">
        <f>5.24+5.06</f>
        <v>10.3</v>
      </c>
      <c r="F16" s="33">
        <v>2</v>
      </c>
    </row>
    <row r="17" spans="2:9" ht="26.1" customHeight="1" x14ac:dyDescent="0.25">
      <c r="B17" s="219"/>
      <c r="C17" s="31" t="s">
        <v>37</v>
      </c>
      <c r="D17" s="20">
        <v>11.08</v>
      </c>
      <c r="E17" s="32">
        <v>9.9</v>
      </c>
      <c r="F17" s="33">
        <v>1</v>
      </c>
    </row>
    <row r="18" spans="2:9" x14ac:dyDescent="0.25">
      <c r="C18" s="18"/>
      <c r="D18" s="34" t="s">
        <v>11</v>
      </c>
      <c r="E18" s="34">
        <f>SUM(E5:E17)</f>
        <v>449.37999999999994</v>
      </c>
      <c r="F18" s="34">
        <f>SUM(F5:F17)</f>
        <v>27</v>
      </c>
    </row>
    <row r="19" spans="2:9" ht="15.75" thickBot="1" x14ac:dyDescent="0.3"/>
    <row r="20" spans="2:9" ht="15.75" thickBot="1" x14ac:dyDescent="0.3">
      <c r="B20" s="215" t="s">
        <v>40</v>
      </c>
      <c r="C20" s="216"/>
      <c r="D20" s="216"/>
      <c r="E20" s="216"/>
      <c r="F20" s="216"/>
    </row>
    <row r="21" spans="2:9" ht="26.1" customHeight="1" x14ac:dyDescent="0.25">
      <c r="B21" s="16" t="s">
        <v>38</v>
      </c>
      <c r="C21" s="14"/>
      <c r="D21" s="15"/>
      <c r="E21" s="15"/>
      <c r="F21" s="35"/>
    </row>
    <row r="22" spans="2:9" ht="26.1" customHeight="1" thickBot="1" x14ac:dyDescent="0.3">
      <c r="B22" s="17" t="s">
        <v>39</v>
      </c>
      <c r="C22" s="9">
        <v>7.04</v>
      </c>
      <c r="D22" s="10"/>
      <c r="E22" s="10"/>
      <c r="F22" s="36"/>
    </row>
    <row r="24" spans="2:9" ht="15.75" x14ac:dyDescent="0.25">
      <c r="B24" s="214" t="s">
        <v>75</v>
      </c>
      <c r="C24" s="214"/>
      <c r="D24" s="214"/>
      <c r="E24" s="214"/>
      <c r="F24" s="214"/>
      <c r="G24" s="214"/>
      <c r="H24" s="214"/>
      <c r="I24" s="214"/>
    </row>
    <row r="25" spans="2:9" ht="26.1" customHeight="1" x14ac:dyDescent="0.25">
      <c r="B25" s="100" t="s">
        <v>76</v>
      </c>
      <c r="C25" s="100" t="s">
        <v>16</v>
      </c>
      <c r="D25" s="100" t="s">
        <v>19</v>
      </c>
      <c r="E25" s="100" t="s">
        <v>77</v>
      </c>
      <c r="F25" s="100" t="s">
        <v>78</v>
      </c>
      <c r="G25" s="100" t="s">
        <v>79</v>
      </c>
      <c r="H25" s="100" t="s">
        <v>80</v>
      </c>
      <c r="I25" s="100" t="s">
        <v>1</v>
      </c>
    </row>
    <row r="26" spans="2:9" ht="26.1" customHeight="1" x14ac:dyDescent="0.25">
      <c r="B26" s="96"/>
      <c r="C26" s="96"/>
      <c r="D26" s="96"/>
      <c r="E26" s="96"/>
      <c r="F26" s="97">
        <v>46097</v>
      </c>
      <c r="G26" s="97">
        <f>+F26+1</f>
        <v>46098</v>
      </c>
      <c r="H26" s="97">
        <f>+F26+5</f>
        <v>46102</v>
      </c>
      <c r="I26" s="96"/>
    </row>
    <row r="27" spans="2:9" ht="26.1" customHeight="1" x14ac:dyDescent="0.25">
      <c r="B27" s="96"/>
      <c r="C27" s="96"/>
      <c r="D27" s="98">
        <v>6</v>
      </c>
      <c r="E27" s="99">
        <f>20+20.24+20.6+20.56+20.4+20.38</f>
        <v>122.17999999999998</v>
      </c>
      <c r="F27" s="97" t="s">
        <v>134</v>
      </c>
      <c r="G27" s="97" t="e">
        <f t="shared" ref="G27:G30" si="0">+F27+1</f>
        <v>#VALUE!</v>
      </c>
      <c r="H27" s="97" t="e">
        <f t="shared" ref="H27:H30" si="1">+F27+5</f>
        <v>#VALUE!</v>
      </c>
      <c r="I27" s="96"/>
    </row>
    <row r="28" spans="2:9" ht="26.1" customHeight="1" x14ac:dyDescent="0.25">
      <c r="B28" s="96"/>
      <c r="C28" s="96"/>
      <c r="D28" s="98"/>
      <c r="E28" s="98"/>
      <c r="F28" s="97">
        <v>46099</v>
      </c>
      <c r="G28" s="97">
        <f t="shared" si="0"/>
        <v>46100</v>
      </c>
      <c r="H28" s="97">
        <f t="shared" si="1"/>
        <v>46104</v>
      </c>
      <c r="I28" s="96"/>
    </row>
    <row r="29" spans="2:9" ht="26.1" customHeight="1" x14ac:dyDescent="0.25">
      <c r="B29" s="96"/>
      <c r="C29" s="96"/>
      <c r="D29" s="98"/>
      <c r="E29" s="99"/>
      <c r="F29" s="97">
        <v>46100</v>
      </c>
      <c r="G29" s="97">
        <f t="shared" si="0"/>
        <v>46101</v>
      </c>
      <c r="H29" s="97">
        <f t="shared" si="1"/>
        <v>46105</v>
      </c>
      <c r="I29" s="96"/>
    </row>
    <row r="30" spans="2:9" ht="26.1" customHeight="1" x14ac:dyDescent="0.25">
      <c r="B30" s="96"/>
      <c r="C30" s="96"/>
      <c r="D30" s="96"/>
      <c r="E30" s="96"/>
      <c r="F30" s="97">
        <v>46101</v>
      </c>
      <c r="G30" s="97">
        <f t="shared" si="0"/>
        <v>46102</v>
      </c>
      <c r="H30" s="97">
        <f t="shared" si="1"/>
        <v>46106</v>
      </c>
      <c r="I30" s="96"/>
    </row>
  </sheetData>
  <mergeCells count="3">
    <mergeCell ref="B24:I24"/>
    <mergeCell ref="B20:F20"/>
    <mergeCell ref="B5:B17"/>
  </mergeCells>
  <pageMargins left="0.7" right="0.7" top="0.75" bottom="0.75" header="0.3" footer="0.3"/>
  <pageSetup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TROPA 192 </vt:lpstr>
      <vt:lpstr>TROPA 192  A PROVEEDOR</vt:lpstr>
      <vt:lpstr>ROMANEO 1</vt:lpstr>
      <vt:lpstr>denticion 1</vt:lpstr>
      <vt:lpstr>menudencias (1)</vt:lpstr>
      <vt:lpstr>'menudencias (1)'!Área_de_impresión</vt:lpstr>
      <vt:lpstr>'TROPA 192 '!Área_de_impresión</vt:lpstr>
      <vt:lpstr>'TROPA 192  A PROVEEDOR'!Área_de_impresión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ARES CALVO</dc:creator>
  <cp:lastModifiedBy>Coordinacion Solemar</cp:lastModifiedBy>
  <cp:lastPrinted>2026-05-18T19:18:35Z</cp:lastPrinted>
  <dcterms:created xsi:type="dcterms:W3CDTF">2025-06-18T19:04:42Z</dcterms:created>
  <dcterms:modified xsi:type="dcterms:W3CDTF">2026-05-19T15:51:16Z</dcterms:modified>
</cp:coreProperties>
</file>